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ingate-my.sharepoint.com/personal/oonari_braingate_onmicrosoft_com/Documents/ドキュメント/学習課題/備品管理システム/"/>
    </mc:Choice>
  </mc:AlternateContent>
  <xr:revisionPtr revIDLastSave="25" documentId="8_{B03ED2D3-CA53-439B-8D1C-43C988632535}" xr6:coauthVersionLast="47" xr6:coauthVersionMax="47" xr10:uidLastSave="{D03C01DF-9847-4D45-930E-6B25B3D5BFF4}"/>
  <bookViews>
    <workbookView xWindow="-26850" yWindow="-16320" windowWidth="38640" windowHeight="15720" firstSheet="2" activeTab="8" xr2:uid="{EBEF0E25-436D-459B-8632-B864DA58E471}"/>
  </bookViews>
  <sheets>
    <sheet name="TABLE" sheetId="1" state="hidden" r:id="rId1"/>
    <sheet name="改訂履歴" sheetId="12" r:id="rId2"/>
    <sheet name="test.auth_master" sheetId="4" r:id="rId3"/>
    <sheet name="test.staff_data" sheetId="8" r:id="rId4"/>
    <sheet name="test.stock_data" sheetId="9" r:id="rId5"/>
    <sheet name="test.stock_master" sheetId="7" r:id="rId6"/>
    <sheet name="test.stock_type_data" sheetId="6" r:id="rId7"/>
    <sheet name="test.stock_type_master" sheetId="5" r:id="rId8"/>
    <sheet name="test.equip_list_view" sheetId="10" r:id="rId9"/>
    <sheet name="test.equip_detail_view" sheetId="11" r:id="rId10"/>
  </sheets>
  <definedNames>
    <definedName name="_xlnm._FilterDatabase" localSheetId="2" hidden="1">test.auth_master!$A$2:$D$7</definedName>
    <definedName name="_xlnm._FilterDatabase" localSheetId="9" hidden="1">test.equip_detail_view!$A$2:$H$28</definedName>
    <definedName name="_xlnm._FilterDatabase" localSheetId="8" hidden="1">test.equip_list_view!$A$3:$D$12</definedName>
    <definedName name="_xlnm._FilterDatabase" localSheetId="3" hidden="1">test.staff_data!$A$2:$D$3</definedName>
    <definedName name="_xlnm._FilterDatabase" localSheetId="4" hidden="1">test.stock_data!$A$2:$I$12</definedName>
    <definedName name="_xlnm._FilterDatabase" localSheetId="5" hidden="1">test.stock_master!$A$2:$H$27</definedName>
    <definedName name="_xlnm._FilterDatabase" localSheetId="6" hidden="1">test.stock_type_data!$A$2:$G$37</definedName>
    <definedName name="_xlnm._FilterDatabase" localSheetId="7" hidden="1">test.stock_type_master!$A$2:$D$9</definedName>
    <definedName name="_xlnm.Print_Titles" localSheetId="2">test.auth_master!$2:$2</definedName>
    <definedName name="_xlnm.Print_Titles" localSheetId="9">test.equip_detail_view!$2:$2</definedName>
    <definedName name="_xlnm.Print_Titles" localSheetId="8">test.equip_list_view!$3:$3</definedName>
    <definedName name="_xlnm.Print_Titles" localSheetId="3">test.staff_data!$2:$2</definedName>
    <definedName name="_xlnm.Print_Titles" localSheetId="4">test.stock_data!$2:$2</definedName>
    <definedName name="_xlnm.Print_Titles" localSheetId="5">test.stock_master!$2:$2</definedName>
    <definedName name="_xlnm.Print_Titles" localSheetId="6">test.stock_type_data!$2:$2</definedName>
    <definedName name="_xlnm.Print_Titles" localSheetId="7">test.stock_type_master!$2:$2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2" l="1"/>
  <c r="Q56" i="1"/>
  <c r="L56" i="1"/>
  <c r="J56" i="1"/>
  <c r="L29" i="1"/>
  <c r="I29" i="1"/>
  <c r="Q28" i="1"/>
  <c r="L28" i="1"/>
  <c r="J28" i="1"/>
  <c r="Q27" i="1"/>
  <c r="L27" i="1"/>
  <c r="J27" i="1"/>
  <c r="Q26" i="1"/>
  <c r="L26" i="1"/>
  <c r="J26" i="1"/>
  <c r="Q25" i="1"/>
  <c r="L25" i="1"/>
  <c r="J25" i="1"/>
  <c r="Q24" i="1"/>
  <c r="L24" i="1"/>
  <c r="J24" i="1"/>
  <c r="Q23" i="1"/>
  <c r="L23" i="1"/>
  <c r="J23" i="1"/>
  <c r="Q22" i="1"/>
  <c r="L22" i="1"/>
  <c r="J22" i="1"/>
  <c r="L21" i="1"/>
  <c r="L20" i="1"/>
  <c r="J20" i="1"/>
  <c r="I11" i="1"/>
  <c r="I18" i="1"/>
  <c r="I37" i="1"/>
  <c r="I45" i="1"/>
  <c r="I59" i="1"/>
  <c r="Q57" i="1"/>
  <c r="Q55" i="1"/>
  <c r="Q54" i="1"/>
  <c r="Q53" i="1"/>
  <c r="Q8" i="1"/>
  <c r="Q52" i="1"/>
  <c r="Q51" i="1"/>
  <c r="Q50" i="1"/>
  <c r="Q49" i="1"/>
  <c r="Q44" i="1"/>
  <c r="Q43" i="1"/>
  <c r="Q42" i="1"/>
  <c r="Q41" i="1"/>
  <c r="Q36" i="1"/>
  <c r="Q35" i="1"/>
  <c r="Q34" i="1"/>
  <c r="Q33" i="1"/>
  <c r="Q17" i="1"/>
  <c r="Q16" i="1"/>
  <c r="Q15" i="1"/>
  <c r="Q14" i="1"/>
  <c r="Q10" i="1"/>
  <c r="Q9" i="1"/>
  <c r="Q7" i="1"/>
  <c r="Q6" i="1"/>
  <c r="Q5" i="1"/>
  <c r="Q4" i="1"/>
  <c r="Q3" i="1"/>
  <c r="L57" i="1"/>
  <c r="L55" i="1"/>
  <c r="L54" i="1"/>
  <c r="L53" i="1"/>
  <c r="L8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7" i="1"/>
  <c r="L36" i="1"/>
  <c r="L35" i="1"/>
  <c r="L34" i="1"/>
  <c r="L33" i="1"/>
  <c r="L32" i="1"/>
  <c r="L31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J57" i="1"/>
  <c r="J55" i="1"/>
  <c r="J54" i="1"/>
  <c r="J53" i="1"/>
  <c r="J8" i="1"/>
  <c r="J52" i="1"/>
  <c r="J51" i="1"/>
  <c r="J50" i="1"/>
  <c r="J49" i="1"/>
  <c r="J47" i="1"/>
  <c r="J46" i="1"/>
  <c r="J44" i="1"/>
  <c r="J43" i="1"/>
  <c r="J42" i="1"/>
  <c r="J41" i="1"/>
  <c r="J39" i="1"/>
  <c r="J36" i="1"/>
  <c r="J35" i="1"/>
  <c r="J34" i="1"/>
  <c r="J33" i="1"/>
  <c r="J31" i="1"/>
  <c r="J17" i="1"/>
  <c r="J16" i="1"/>
  <c r="J15" i="1"/>
  <c r="J14" i="1"/>
  <c r="J12" i="1"/>
  <c r="J10" i="1"/>
  <c r="J9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<sst xmlns="http://schemas.openxmlformats.org/spreadsheetml/2006/main" count="770" uniqueCount="255">
  <si>
    <t>備品マスター</t>
    <rPh sb="0" eb="2">
      <t>ビヒン</t>
    </rPh>
    <phoneticPr fontId="2"/>
  </si>
  <si>
    <t>create table</t>
    <phoneticPr fontId="2"/>
  </si>
  <si>
    <t>stock_master</t>
    <phoneticPr fontId="2"/>
  </si>
  <si>
    <t>(</t>
    <phoneticPr fontId="2"/>
  </si>
  <si>
    <t>stock_code</t>
    <phoneticPr fontId="2"/>
  </si>
  <si>
    <t>varchar</t>
  </si>
  <si>
    <t>NOT NULL</t>
    <phoneticPr fontId="2"/>
  </si>
  <si>
    <t>PRIMARY KEY</t>
    <phoneticPr fontId="2"/>
  </si>
  <si>
    <t>comment</t>
    <phoneticPr fontId="2"/>
  </si>
  <si>
    <t>備品番号</t>
  </si>
  <si>
    <t>,</t>
    <phoneticPr fontId="2"/>
  </si>
  <si>
    <t>name</t>
    <phoneticPr fontId="2"/>
  </si>
  <si>
    <t>備品名称</t>
    <rPh sb="0" eb="4">
      <t>ビヒンメイショウ</t>
    </rPh>
    <phoneticPr fontId="2"/>
  </si>
  <si>
    <t>model</t>
    <phoneticPr fontId="2"/>
  </si>
  <si>
    <t>型番</t>
    <rPh sb="0" eb="2">
      <t>カタバン</t>
    </rPh>
    <phoneticPr fontId="2"/>
  </si>
  <si>
    <t>maker</t>
    <phoneticPr fontId="2"/>
  </si>
  <si>
    <t>メーカー</t>
    <phoneticPr fontId="2"/>
  </si>
  <si>
    <t>type</t>
    <phoneticPr fontId="2"/>
  </si>
  <si>
    <t>int</t>
    <phoneticPr fontId="2"/>
  </si>
  <si>
    <t>分類コード</t>
    <rPh sb="0" eb="2">
      <t>ブンルイ</t>
    </rPh>
    <phoneticPr fontId="2"/>
  </si>
  <si>
    <t>PC、PC周辺機器、鍵、カード、その他。権限によって貸出可能な備品が異なるようにする。</t>
    <rPh sb="5" eb="9">
      <t>シュウヘンキキ</t>
    </rPh>
    <rPh sb="10" eb="11">
      <t>カギ</t>
    </rPh>
    <rPh sb="18" eb="19">
      <t>タ</t>
    </rPh>
    <rPh sb="20" eb="22">
      <t>ケンゲン</t>
    </rPh>
    <rPh sb="26" eb="30">
      <t>カシダシカノウ</t>
    </rPh>
    <rPh sb="31" eb="33">
      <t>ビヒン</t>
    </rPh>
    <rPh sb="34" eb="35">
      <t>コト</t>
    </rPh>
    <phoneticPr fontId="2"/>
  </si>
  <si>
    <t>stock_flg</t>
    <phoneticPr fontId="2"/>
  </si>
  <si>
    <t>boolean</t>
    <phoneticPr fontId="2"/>
  </si>
  <si>
    <t>貸出可能フラグ</t>
    <rPh sb="0" eb="2">
      <t>カシダシ</t>
    </rPh>
    <rPh sb="2" eb="4">
      <t>カノウ</t>
    </rPh>
    <phoneticPr fontId="2"/>
  </si>
  <si>
    <t>true：貸出可、false：貸出不可。貸出可否は複数項目情報の組み合わせで作成する</t>
    <rPh sb="5" eb="8">
      <t>カシダシカ</t>
    </rPh>
    <rPh sb="15" eb="17">
      <t>カシダシ</t>
    </rPh>
    <rPh sb="17" eb="19">
      <t>フカ</t>
    </rPh>
    <rPh sb="20" eb="24">
      <t>カシダシカヒ</t>
    </rPh>
    <rPh sb="25" eb="27">
      <t>フクスウ</t>
    </rPh>
    <rPh sb="27" eb="29">
      <t>コウモク</t>
    </rPh>
    <rPh sb="29" eb="31">
      <t>ジョウホウ</t>
    </rPh>
    <rPh sb="32" eb="33">
      <t>ク</t>
    </rPh>
    <rPh sb="34" eb="35">
      <t>ア</t>
    </rPh>
    <rPh sb="38" eb="40">
      <t>サクセイ</t>
    </rPh>
    <phoneticPr fontId="2"/>
  </si>
  <si>
    <t>remarks</t>
    <phoneticPr fontId="2"/>
  </si>
  <si>
    <t>備考</t>
    <rPh sb="0" eb="2">
      <t>ビコウ</t>
    </rPh>
    <phoneticPr fontId="2"/>
  </si>
  <si>
    <t>del</t>
    <phoneticPr fontId="2"/>
  </si>
  <si>
    <t>default 0</t>
    <phoneticPr fontId="2"/>
  </si>
  <si>
    <t>削除フラグ</t>
    <rPh sb="0" eb="2">
      <t>サクジョ</t>
    </rPh>
    <phoneticPr fontId="2"/>
  </si>
  <si>
    <t>true：論理削除</t>
    <rPh sb="5" eb="9">
      <t>ロンリサクジョ</t>
    </rPh>
    <phoneticPr fontId="2"/>
  </si>
  <si>
    <t>)</t>
    <phoneticPr fontId="2"/>
  </si>
  <si>
    <t>;</t>
    <phoneticPr fontId="2"/>
  </si>
  <si>
    <t>備品分類マスター</t>
    <rPh sb="0" eb="4">
      <t>ビヒンブンルイ</t>
    </rPh>
    <phoneticPr fontId="2"/>
  </si>
  <si>
    <t>stock_type_master</t>
    <phoneticPr fontId="2"/>
  </si>
  <si>
    <t>id</t>
    <phoneticPr fontId="2"/>
  </si>
  <si>
    <t>採番</t>
    <rPh sb="0" eb="2">
      <t>サイバン</t>
    </rPh>
    <phoneticPr fontId="2"/>
  </si>
  <si>
    <t>stock_type</t>
    <phoneticPr fontId="2"/>
  </si>
  <si>
    <t>手作業で管理していた頃の採番</t>
    <rPh sb="0" eb="3">
      <t>テサギョウ</t>
    </rPh>
    <rPh sb="4" eb="6">
      <t>カンリ</t>
    </rPh>
    <rPh sb="10" eb="11">
      <t>コロ</t>
    </rPh>
    <rPh sb="12" eb="14">
      <t>サイバン</t>
    </rPh>
    <phoneticPr fontId="2"/>
  </si>
  <si>
    <t>varchar</t>
    <phoneticPr fontId="2"/>
  </si>
  <si>
    <t>分類名称</t>
    <rPh sb="0" eb="4">
      <t>ブンルイメイショウ</t>
    </rPh>
    <phoneticPr fontId="2"/>
  </si>
  <si>
    <t>備品の分類の名称（PC、PC周辺機器、鍵、カードなど）</t>
    <rPh sb="0" eb="2">
      <t>ビヒン</t>
    </rPh>
    <rPh sb="3" eb="5">
      <t>ブンルイ</t>
    </rPh>
    <rPh sb="6" eb="8">
      <t>メイショウ</t>
    </rPh>
    <rPh sb="14" eb="18">
      <t>シュウヘンキキ</t>
    </rPh>
    <rPh sb="19" eb="20">
      <t>カギ</t>
    </rPh>
    <phoneticPr fontId="2"/>
  </si>
  <si>
    <t>備品分類データ</t>
    <rPh sb="0" eb="4">
      <t>ビヒンブンルイ</t>
    </rPh>
    <phoneticPr fontId="2"/>
  </si>
  <si>
    <t>stock_type_data</t>
    <phoneticPr fontId="2"/>
  </si>
  <si>
    <t>authority_no</t>
    <phoneticPr fontId="2"/>
  </si>
  <si>
    <t>権限</t>
    <rPh sb="0" eb="2">
      <t>ケンゲン</t>
    </rPh>
    <phoneticPr fontId="2"/>
  </si>
  <si>
    <t>社員の権限</t>
    <rPh sb="0" eb="2">
      <t>シャイン</t>
    </rPh>
    <rPh sb="3" eb="5">
      <t>ケンゲン</t>
    </rPh>
    <phoneticPr fontId="2"/>
  </si>
  <si>
    <t>read_flg</t>
    <phoneticPr fontId="2"/>
  </si>
  <si>
    <t>読み込み</t>
    <rPh sb="0" eb="1">
      <t>ヨ</t>
    </rPh>
    <rPh sb="2" eb="3">
      <t>コ</t>
    </rPh>
    <phoneticPr fontId="2"/>
  </si>
  <si>
    <t>true：権限を持つユーザーに対して表示可能、false：表示不可</t>
    <rPh sb="5" eb="7">
      <t>ケンゲン</t>
    </rPh>
    <rPh sb="8" eb="9">
      <t>モ</t>
    </rPh>
    <rPh sb="15" eb="16">
      <t>タイ</t>
    </rPh>
    <rPh sb="18" eb="20">
      <t>ヒョウジ</t>
    </rPh>
    <rPh sb="20" eb="22">
      <t>カノウ</t>
    </rPh>
    <rPh sb="29" eb="31">
      <t>ヒョウジ</t>
    </rPh>
    <rPh sb="31" eb="33">
      <t>フカ</t>
    </rPh>
    <phoneticPr fontId="2"/>
  </si>
  <si>
    <t>write_flg</t>
    <phoneticPr fontId="2"/>
  </si>
  <si>
    <t>書き込み</t>
    <rPh sb="0" eb="1">
      <t>カ</t>
    </rPh>
    <rPh sb="2" eb="3">
      <t>コ</t>
    </rPh>
    <phoneticPr fontId="2"/>
  </si>
  <si>
    <t>true：権限を持つユーザーに対して更新可能、false：更新不可</t>
    <rPh sb="18" eb="20">
      <t>コウシン</t>
    </rPh>
    <rPh sb="20" eb="22">
      <t>カノウ</t>
    </rPh>
    <rPh sb="29" eb="31">
      <t>コウシン</t>
    </rPh>
    <rPh sb="31" eb="33">
      <t>フカ</t>
    </rPh>
    <phoneticPr fontId="2"/>
  </si>
  <si>
    <t>del_flg</t>
    <phoneticPr fontId="2"/>
  </si>
  <si>
    <t>削除</t>
    <rPh sb="0" eb="2">
      <t>サクジョ</t>
    </rPh>
    <phoneticPr fontId="2"/>
  </si>
  <si>
    <t>true：権限を持つユーザーに対して論理削除可能、false：削除不可</t>
    <rPh sb="18" eb="22">
      <t>ロンリサクジョ</t>
    </rPh>
    <rPh sb="22" eb="24">
      <t>カノウ</t>
    </rPh>
    <rPh sb="31" eb="35">
      <t>サクジョフカ</t>
    </rPh>
    <phoneticPr fontId="2"/>
  </si>
  <si>
    <t>権限マスター</t>
    <rPh sb="0" eb="2">
      <t>ケンゲン</t>
    </rPh>
    <phoneticPr fontId="2"/>
  </si>
  <si>
    <t>auth_master</t>
    <phoneticPr fontId="2"/>
  </si>
  <si>
    <t>1：マスター権限（すべての設定が可能）、2：システム管理者（マスターデータの管理が可能）、3：備品責任者権限（全備品データの管理が可能）、4～98：備品管理者権限（特定の備品データの管理が可能）、99：備品使用者権限（自身が借りている備品データの閲覧、返却手続きが可能）</t>
    <rPh sb="6" eb="8">
      <t>ケンゲン</t>
    </rPh>
    <rPh sb="13" eb="15">
      <t>セッテイ</t>
    </rPh>
    <rPh sb="16" eb="18">
      <t>カノウ</t>
    </rPh>
    <rPh sb="26" eb="29">
      <t>カンリシャ</t>
    </rPh>
    <rPh sb="47" eb="52">
      <t>ビヒンセキニンシャ</t>
    </rPh>
    <rPh sb="52" eb="54">
      <t>ケンゲン</t>
    </rPh>
    <rPh sb="55" eb="56">
      <t>ゼン</t>
    </rPh>
    <rPh sb="56" eb="58">
      <t>ビヒン</t>
    </rPh>
    <rPh sb="74" eb="76">
      <t>ビヒン</t>
    </rPh>
    <rPh sb="76" eb="79">
      <t>カンリシャ</t>
    </rPh>
    <rPh sb="79" eb="81">
      <t>ケンゲン</t>
    </rPh>
    <rPh sb="82" eb="84">
      <t>トクテイ</t>
    </rPh>
    <rPh sb="85" eb="87">
      <t>ビヒン</t>
    </rPh>
    <rPh sb="101" eb="103">
      <t>ビヒン</t>
    </rPh>
    <rPh sb="103" eb="108">
      <t>シヨウシャケンゲン</t>
    </rPh>
    <rPh sb="109" eb="111">
      <t>ジシン</t>
    </rPh>
    <rPh sb="112" eb="113">
      <t>カ</t>
    </rPh>
    <rPh sb="117" eb="119">
      <t>ビヒン</t>
    </rPh>
    <rPh sb="123" eb="125">
      <t>エツラン</t>
    </rPh>
    <rPh sb="126" eb="130">
      <t>ヘンキャクテツヅ</t>
    </rPh>
    <rPh sb="132" eb="134">
      <t>カノウ</t>
    </rPh>
    <phoneticPr fontId="2"/>
  </si>
  <si>
    <t>auth_name</t>
    <phoneticPr fontId="2"/>
  </si>
  <si>
    <t>権限の名称</t>
    <rPh sb="0" eb="2">
      <t>ケンゲン</t>
    </rPh>
    <rPh sb="3" eb="5">
      <t>メイショウ</t>
    </rPh>
    <phoneticPr fontId="2"/>
  </si>
  <si>
    <t>権限の説明等</t>
    <rPh sb="0" eb="2">
      <t>ケンゲン</t>
    </rPh>
    <rPh sb="3" eb="5">
      <t>セツメイ</t>
    </rPh>
    <rPh sb="5" eb="6">
      <t>ナド</t>
    </rPh>
    <phoneticPr fontId="2"/>
  </si>
  <si>
    <t>true：論理削除可能、false：削除不可</t>
    <rPh sb="5" eb="9">
      <t>ロンリサクジョ</t>
    </rPh>
    <rPh sb="9" eb="11">
      <t>カノウ</t>
    </rPh>
    <rPh sb="18" eb="22">
      <t>サクジョフカ</t>
    </rPh>
    <phoneticPr fontId="2"/>
  </si>
  <si>
    <t>社員データ</t>
    <rPh sb="0" eb="2">
      <t>シャイン</t>
    </rPh>
    <phoneticPr fontId="2"/>
  </si>
  <si>
    <t>staff_data</t>
    <phoneticPr fontId="2"/>
  </si>
  <si>
    <t>staff_no</t>
    <phoneticPr fontId="2"/>
  </si>
  <si>
    <t>社員番号</t>
    <rPh sb="0" eb="4">
      <t>シャインバンゴウ</t>
    </rPh>
    <phoneticPr fontId="2"/>
  </si>
  <si>
    <t>氏名</t>
    <rPh sb="0" eb="2">
      <t>シメイ</t>
    </rPh>
    <phoneticPr fontId="2"/>
  </si>
  <si>
    <t>画面に表示する氏名。基本的に「苗字 名前」が入る想定。</t>
    <rPh sb="0" eb="2">
      <t>ガメン</t>
    </rPh>
    <rPh sb="3" eb="5">
      <t>ヒョウジ</t>
    </rPh>
    <rPh sb="7" eb="9">
      <t>シメイ</t>
    </rPh>
    <rPh sb="10" eb="13">
      <t>キホンテキ</t>
    </rPh>
    <rPh sb="15" eb="17">
      <t>ミョウジ</t>
    </rPh>
    <rPh sb="18" eb="20">
      <t>ナマエ</t>
    </rPh>
    <rPh sb="22" eb="23">
      <t>ハイ</t>
    </rPh>
    <rPh sb="24" eb="26">
      <t>ソウテイ</t>
    </rPh>
    <phoneticPr fontId="2"/>
  </si>
  <si>
    <t>true：論理削除（退職など）、false：削除していない（所属している）</t>
    <rPh sb="5" eb="9">
      <t>ロンリサクジョ</t>
    </rPh>
    <rPh sb="10" eb="12">
      <t>タイショク</t>
    </rPh>
    <rPh sb="22" eb="24">
      <t>サクジョ</t>
    </rPh>
    <rPh sb="30" eb="32">
      <t>ショゾク</t>
    </rPh>
    <phoneticPr fontId="2"/>
  </si>
  <si>
    <t>備品データ</t>
    <rPh sb="0" eb="2">
      <t>ビヒン</t>
    </rPh>
    <phoneticPr fontId="2"/>
  </si>
  <si>
    <t>stock_data</t>
    <phoneticPr fontId="2"/>
  </si>
  <si>
    <t>serial_no</t>
    <phoneticPr fontId="2"/>
  </si>
  <si>
    <t>備品のシリアルNo</t>
    <rPh sb="0" eb="2">
      <t>ビヒン</t>
    </rPh>
    <phoneticPr fontId="2"/>
  </si>
  <si>
    <t>手作業で管理していた頃の採番。</t>
    <rPh sb="0" eb="3">
      <t>テサギョウ</t>
    </rPh>
    <rPh sb="4" eb="6">
      <t>カンリ</t>
    </rPh>
    <rPh sb="10" eb="11">
      <t>コロ</t>
    </rPh>
    <rPh sb="12" eb="14">
      <t>サイバン</t>
    </rPh>
    <phoneticPr fontId="2"/>
  </si>
  <si>
    <t>備品番号</t>
    <rPh sb="0" eb="4">
      <t>ビヒンバンゴウ</t>
    </rPh>
    <phoneticPr fontId="2"/>
  </si>
  <si>
    <t>該当データに紐づいた備品マスターの備品番号</t>
    <rPh sb="0" eb="2">
      <t>ガイトウ</t>
    </rPh>
    <rPh sb="6" eb="7">
      <t>ヒモ</t>
    </rPh>
    <rPh sb="10" eb="12">
      <t>ビヒン</t>
    </rPh>
    <rPh sb="17" eb="21">
      <t>ビヒンバンゴウ</t>
    </rPh>
    <phoneticPr fontId="2"/>
  </si>
  <si>
    <t>parent_stock_code</t>
    <phoneticPr fontId="2"/>
  </si>
  <si>
    <t>親備品番号</t>
    <rPh sb="0" eb="1">
      <t>オヤ</t>
    </rPh>
    <rPh sb="1" eb="5">
      <t>ビヒンバンゴウ</t>
    </rPh>
    <phoneticPr fontId="2"/>
  </si>
  <si>
    <t>PC周辺機器の場合、接続先PCの備品番号が入る</t>
    <rPh sb="2" eb="6">
      <t>シュウヘンキキ</t>
    </rPh>
    <rPh sb="7" eb="9">
      <t>バアイ</t>
    </rPh>
    <rPh sb="10" eb="13">
      <t>セツゾクサキ</t>
    </rPh>
    <rPh sb="16" eb="20">
      <t>ビヒンバンゴウ</t>
    </rPh>
    <rPh sb="21" eb="22">
      <t>ハイ</t>
    </rPh>
    <phoneticPr fontId="2"/>
  </si>
  <si>
    <t>貸出先ユーザーの社員番号</t>
    <rPh sb="0" eb="3">
      <t>カシダシサキ</t>
    </rPh>
    <rPh sb="8" eb="10">
      <t>シャイン</t>
    </rPh>
    <rPh sb="10" eb="12">
      <t>バンゴウ</t>
    </rPh>
    <phoneticPr fontId="2"/>
  </si>
  <si>
    <t>start_date</t>
    <phoneticPr fontId="2"/>
  </si>
  <si>
    <t>date</t>
    <phoneticPr fontId="2"/>
  </si>
  <si>
    <t>貸出開始日</t>
    <rPh sb="0" eb="5">
      <t>カシダシカイシビ</t>
    </rPh>
    <phoneticPr fontId="2"/>
  </si>
  <si>
    <t>limit_date</t>
    <phoneticPr fontId="2"/>
  </si>
  <si>
    <t>返却予定日</t>
    <rPh sb="0" eb="5">
      <t>ヘンキャクヨテイビ</t>
    </rPh>
    <phoneticPr fontId="2"/>
  </si>
  <si>
    <t>return_date</t>
    <phoneticPr fontId="2"/>
  </si>
  <si>
    <t>最終所在確認日</t>
    <rPh sb="0" eb="7">
      <t>サイシュウショザイカクニンビ</t>
    </rPh>
    <phoneticPr fontId="2"/>
  </si>
  <si>
    <t>confirmed_date</t>
    <phoneticPr fontId="2"/>
  </si>
  <si>
    <t>default '0'</t>
    <phoneticPr fontId="2"/>
  </si>
  <si>
    <t>serial_no,stock_code</t>
    <phoneticPr fontId="2"/>
  </si>
  <si>
    <t>バージョン</t>
    <phoneticPr fontId="9"/>
  </si>
  <si>
    <t>作成日
（更新日）</t>
    <rPh sb="0" eb="3">
      <t>サクセイビ</t>
    </rPh>
    <rPh sb="5" eb="8">
      <t>コウシンビ</t>
    </rPh>
    <phoneticPr fontId="9"/>
  </si>
  <si>
    <t>テーブル・ビュー</t>
    <phoneticPr fontId="2"/>
  </si>
  <si>
    <t>詳細</t>
    <rPh sb="0" eb="2">
      <t>ショウサイ</t>
    </rPh>
    <phoneticPr fontId="9"/>
  </si>
  <si>
    <t>作成者（更新者）</t>
    <rPh sb="0" eb="3">
      <t>サクセイシャ</t>
    </rPh>
    <rPh sb="4" eb="7">
      <t>コウシンシャ</t>
    </rPh>
    <phoneticPr fontId="9"/>
  </si>
  <si>
    <t>初版</t>
    <rPh sb="0" eb="2">
      <t>ショハン</t>
    </rPh>
    <phoneticPr fontId="9"/>
  </si>
  <si>
    <t>新規作成</t>
    <rPh sb="0" eb="4">
      <t>シンキサクセイ</t>
    </rPh>
    <phoneticPr fontId="9"/>
  </si>
  <si>
    <t>大成慶一</t>
    <rPh sb="0" eb="4">
      <t>オオナリケイイチ</t>
    </rPh>
    <phoneticPr fontId="9"/>
  </si>
  <si>
    <t>第二版</t>
    <rPh sb="0" eb="3">
      <t>ダイニハン</t>
    </rPh>
    <phoneticPr fontId="2"/>
  </si>
  <si>
    <t>serial_noを削除
プライマリーキーの設定をクリア
idを追加し、プライマリーキーに設定
stock_codeの名称を備品番号からシリアルナンバーに変更
シートのダミーデータも上記対応に合わせて修正</t>
    <rPh sb="10" eb="12">
      <t>サクジョ</t>
    </rPh>
    <rPh sb="22" eb="24">
      <t>セッテイ</t>
    </rPh>
    <rPh sb="32" eb="34">
      <t>ツイカ</t>
    </rPh>
    <rPh sb="45" eb="47">
      <t>セッテイ</t>
    </rPh>
    <rPh sb="91" eb="95">
      <t>ジョウキタイオウ</t>
    </rPh>
    <rPh sb="96" eb="97">
      <t>ア</t>
    </rPh>
    <rPh sb="100" eb="102">
      <t>シュウセイ</t>
    </rPh>
    <phoneticPr fontId="2"/>
  </si>
  <si>
    <t>stock_codeの名称を備品番号からシリアルナンバーに変更</t>
    <phoneticPr fontId="2"/>
  </si>
  <si>
    <t>equip_list_view</t>
    <phoneticPr fontId="2"/>
  </si>
  <si>
    <t>SQL文にあるstock_data.serial_noの部分をstock_data.idに変更</t>
    <rPh sb="3" eb="4">
      <t>ブン</t>
    </rPh>
    <rPh sb="28" eb="30">
      <t>ブブン</t>
    </rPh>
    <rPh sb="45" eb="47">
      <t>ヘンコウ</t>
    </rPh>
    <phoneticPr fontId="2"/>
  </si>
  <si>
    <t>localhost/mariaDB(mySQL) : 2022/06/19 23:29:24</t>
  </si>
  <si>
    <t>権限_x000D_
authority_no</t>
  </si>
  <si>
    <t>権限の名称_x000D_
auth_name</t>
  </si>
  <si>
    <t>備考_x000D_
remarks</t>
  </si>
  <si>
    <t>削除_x000D_
del</t>
  </si>
  <si>
    <t>マスター権限</t>
  </si>
  <si>
    <t>全ての設定が可能</t>
  </si>
  <si>
    <t>システム管理者</t>
  </si>
  <si>
    <t>マスターデータの管理と全備品データの管理が可能</t>
  </si>
  <si>
    <t>備品責任者権限</t>
  </si>
  <si>
    <t>全備品データの管理が可能</t>
  </si>
  <si>
    <t>備品管理者権限</t>
  </si>
  <si>
    <t>備品データの管理が可能（削除不可）</t>
  </si>
  <si>
    <t>備品使用者権限</t>
  </si>
  <si>
    <t>自身の管理する備品、閲覧可能な備品情報の表示が可能（一般ユーザー権限）</t>
  </si>
  <si>
    <t>localhost/mariaDB(mySQL) : 2022/06/19 23:39:18</t>
  </si>
  <si>
    <t>社員番号_x000D_
staff_no</t>
  </si>
  <si>
    <t>氏名_x000D_
name</t>
  </si>
  <si>
    <t>権限_x000D_
auth_no</t>
  </si>
  <si>
    <t>削除フラグ_x000D_
del</t>
  </si>
  <si>
    <t>マスター　一郎</t>
    <phoneticPr fontId="2"/>
  </si>
  <si>
    <t>システム管理者次郎</t>
    <rPh sb="7" eb="9">
      <t>ジロウ</t>
    </rPh>
    <phoneticPr fontId="2"/>
  </si>
  <si>
    <t>責任　三郎</t>
    <rPh sb="0" eb="2">
      <t>セキニン</t>
    </rPh>
    <rPh sb="3" eb="5">
      <t>サブロウ</t>
    </rPh>
    <phoneticPr fontId="2"/>
  </si>
  <si>
    <t>管理　史郎</t>
    <rPh sb="0" eb="2">
      <t>カンリ</t>
    </rPh>
    <rPh sb="3" eb="5">
      <t>シロウ</t>
    </rPh>
    <phoneticPr fontId="2"/>
  </si>
  <si>
    <t>利用者　つくも</t>
    <rPh sb="0" eb="3">
      <t>リヨウシャ</t>
    </rPh>
    <phoneticPr fontId="2"/>
  </si>
  <si>
    <t>採番
id</t>
    <rPh sb="0" eb="2">
      <t>サイバン</t>
    </rPh>
    <phoneticPr fontId="2"/>
  </si>
  <si>
    <t>シリアルナンバー
stock_code</t>
    <phoneticPr fontId="2"/>
  </si>
  <si>
    <t>親備品番号_x000D_
parent_stock_code</t>
  </si>
  <si>
    <t>貸出先ユーザーの社員番号_x000D_
staff_no</t>
  </si>
  <si>
    <t>貸出開始日_x000D_
start_date</t>
  </si>
  <si>
    <t>返却予定日_x000D_
return_date</t>
  </si>
  <si>
    <t>返却日_x000D_
return_date</t>
    <phoneticPr fontId="2"/>
  </si>
  <si>
    <t>最終所在確認日_x000D_
confirmed_date</t>
    <phoneticPr fontId="2"/>
  </si>
  <si>
    <t>S000000001</t>
  </si>
  <si>
    <t>« NULL »</t>
  </si>
  <si>
    <t>S000000003</t>
  </si>
  <si>
    <t>S000000005</t>
  </si>
  <si>
    <t>S000000002</t>
  </si>
  <si>
    <t>S000000004</t>
  </si>
  <si>
    <t>S000000006</t>
  </si>
  <si>
    <t>S000000007</t>
  </si>
  <si>
    <t>S000000008</t>
  </si>
  <si>
    <t>S000000009</t>
  </si>
  <si>
    <t>S000000010</t>
  </si>
  <si>
    <t>S000000011</t>
  </si>
  <si>
    <t>S000000012</t>
  </si>
  <si>
    <t>S000000013</t>
  </si>
  <si>
    <t>S000000014</t>
  </si>
  <si>
    <t>S000000015</t>
  </si>
  <si>
    <t>S000000016</t>
  </si>
  <si>
    <t>S000000017</t>
  </si>
  <si>
    <t>S000000018</t>
  </si>
  <si>
    <t>S000000019</t>
  </si>
  <si>
    <t>S000000020</t>
  </si>
  <si>
    <t>S000000021</t>
  </si>
  <si>
    <t>S000000022</t>
  </si>
  <si>
    <t>S000000023</t>
  </si>
  <si>
    <t>S000000024</t>
  </si>
  <si>
    <t>S000000025</t>
    <phoneticPr fontId="2"/>
  </si>
  <si>
    <t>S000000026</t>
  </si>
  <si>
    <t>S000000027</t>
    <phoneticPr fontId="2"/>
  </si>
  <si>
    <t>localhost/mariaDB(mySQL) : 2022/06/19 23:38:21</t>
  </si>
  <si>
    <t>シリアルナンバー_x000D_
stock_code</t>
    <phoneticPr fontId="2"/>
  </si>
  <si>
    <t>備品名称_x000D_
name</t>
  </si>
  <si>
    <t>型番_x000D_
model</t>
  </si>
  <si>
    <t>メーカー_x000D_
maker</t>
  </si>
  <si>
    <t>分類コード_x000D_
stock_type</t>
  </si>
  <si>
    <t>貸出可否_x000D_
rent_flg</t>
  </si>
  <si>
    <t>デスクトップPC1</t>
  </si>
  <si>
    <t>0000000001</t>
  </si>
  <si>
    <t>DELL</t>
  </si>
  <si>
    <t>備考</t>
  </si>
  <si>
    <t>デスクトップPC2</t>
  </si>
  <si>
    <t>デスクトップPC3</t>
  </si>
  <si>
    <t>ノートPC1</t>
  </si>
  <si>
    <t>0000000002</t>
  </si>
  <si>
    <t>HP</t>
  </si>
  <si>
    <t>ノートPC2</t>
  </si>
  <si>
    <t>液晶モニタ1</t>
  </si>
  <si>
    <t>0000000003</t>
  </si>
  <si>
    <t>液晶モニタ2</t>
  </si>
  <si>
    <t>0000000004</t>
  </si>
  <si>
    <t>液晶モニタ3</t>
  </si>
  <si>
    <t>液晶モニタ4</t>
  </si>
  <si>
    <t>液晶モニタ5</t>
  </si>
  <si>
    <t>1Fの鍵_1</t>
  </si>
  <si>
    <t/>
  </si>
  <si>
    <t>1Fの鍵_2</t>
  </si>
  <si>
    <t>1Fの鍵_3</t>
  </si>
  <si>
    <t>1Fの鍵_4</t>
  </si>
  <si>
    <t>1Fの鍵_5</t>
  </si>
  <si>
    <t>セキュリティカード1</t>
  </si>
  <si>
    <t>セキュリティカード2</t>
  </si>
  <si>
    <t>セキュリティカード3</t>
  </si>
  <si>
    <t>セキュリティカード4</t>
  </si>
  <si>
    <t>セキュリティカード5</t>
  </si>
  <si>
    <t>戸棚の鍵1</t>
  </si>
  <si>
    <t>戸棚の鍵2</t>
  </si>
  <si>
    <t>机の鍵1</t>
  </si>
  <si>
    <t>ヘッドホン</t>
  </si>
  <si>
    <t>0000000009</t>
  </si>
  <si>
    <t>SONY</t>
  </si>
  <si>
    <t>S000000025</t>
  </si>
  <si>
    <t>モバイルWifi</t>
  </si>
  <si>
    <t>0000000010</t>
  </si>
  <si>
    <t>NEC</t>
  </si>
  <si>
    <t>デスクトップPC4</t>
  </si>
  <si>
    <t>故障中</t>
  </si>
  <si>
    <t>S000000027</t>
  </si>
  <si>
    <t>セキュリティカード6</t>
    <phoneticPr fontId="2"/>
  </si>
  <si>
    <t>localhost/mariaDB(mySQL) : 2022/06/19 23:32:24</t>
  </si>
  <si>
    <t>採番_x000D_
id</t>
  </si>
  <si>
    <t>読み込み_x000D_
read_flg</t>
  </si>
  <si>
    <t>書き込み_x000D_
write_flg</t>
  </si>
  <si>
    <t>削除_x000D_
del_flg</t>
  </si>
  <si>
    <t>localhost/mariaDB(mySQL) : 2022/06/19 23:29:49</t>
  </si>
  <si>
    <t>分類名称_x000D_
name</t>
  </si>
  <si>
    <t>デスクトップPC</t>
  </si>
  <si>
    <t>ノートPC</t>
  </si>
  <si>
    <t>液晶モニタ</t>
  </si>
  <si>
    <t>1F出入口の鍵</t>
  </si>
  <si>
    <t>戸棚の鍵</t>
  </si>
  <si>
    <t>サイドデスクの鍵</t>
  </si>
  <si>
    <t>セキュリティカード</t>
  </si>
  <si>
    <t>ヘッドホン</t>
    <phoneticPr fontId="2"/>
  </si>
  <si>
    <t>モバイルWi-Fi</t>
    <phoneticPr fontId="2"/>
  </si>
  <si>
    <t>名称</t>
  </si>
  <si>
    <t>貸出</t>
  </si>
  <si>
    <t>在庫</t>
  </si>
  <si>
    <t>不明</t>
  </si>
  <si>
    <t>合計</t>
  </si>
  <si>
    <t>モバイルWi-Fi</t>
  </si>
  <si>
    <t>備品名</t>
  </si>
  <si>
    <t>シリアルナンバー</t>
  </si>
  <si>
    <t>使用者</t>
  </si>
  <si>
    <t>貸出可否</t>
  </si>
  <si>
    <t>貸出開始日</t>
  </si>
  <si>
    <t>返却予定日</t>
  </si>
  <si>
    <t>最終所在確認日</t>
  </si>
  <si>
    <t>利用者　つくも</t>
  </si>
  <si>
    <t>貸出中</t>
  </si>
  <si>
    <t>責任　三郎</t>
  </si>
  <si>
    <t>マスター　一郎</t>
  </si>
  <si>
    <t>管理　史郎</t>
  </si>
  <si>
    <t>システム管理者次郎</t>
  </si>
  <si>
    <t>localhost/mariaDB(mySQL) : 2025/06/20 0:03:06</t>
  </si>
  <si>
    <t>localhost/postgres : 2025/12/06 17:03:10</t>
  </si>
  <si>
    <t>備品データid</t>
  </si>
  <si>
    <t>社員番号</t>
  </si>
  <si>
    <t>可</t>
  </si>
  <si>
    <t>localhost/postgres : 2025/12/06 17:07:17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</si>
</sst>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b/>
      <u/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/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4" fillId="0" borderId="1" xfId="1" applyBorder="1">
      <alignment vertical="center"/>
    </xf>
    <xf numFmtId="1" fontId="4" fillId="0" borderId="1" xfId="1" applyNumberFormat="1" applyBorder="1">
      <alignment vertical="center"/>
    </xf>
    <xf numFmtId="0" fontId="5" fillId="2" borderId="1" xfId="1" applyFont="1" applyFill="1" applyBorder="1" applyAlignment="1">
      <alignment vertical="center" wrapText="1"/>
    </xf>
    <xf numFmtId="176" fontId="4" fillId="0" borderId="1" xfId="1" applyNumberFormat="1" applyBorder="1">
      <alignment vertical="center"/>
    </xf>
    <xf numFmtId="0" fontId="6" fillId="0" borderId="1" xfId="1" applyFont="1" applyBorder="1">
      <alignment vertical="center"/>
    </xf>
    <xf numFmtId="0" fontId="5" fillId="2" borderId="1" xfId="1" applyFont="1" applyFill="1" applyBorder="1">
      <alignment vertical="center"/>
    </xf>
    <xf numFmtId="0" fontId="8" fillId="0" borderId="0" xfId="2" applyFont="1"/>
    <xf numFmtId="0" fontId="7" fillId="0" borderId="0" xfId="2" applyAlignment="1">
      <alignment horizontal="center"/>
    </xf>
    <xf numFmtId="0" fontId="7" fillId="0" borderId="0" xfId="2"/>
    <xf numFmtId="0" fontId="7" fillId="3" borderId="1" xfId="2" applyFill="1" applyBorder="1" applyAlignment="1">
      <alignment horizontal="center" vertical="center"/>
    </xf>
    <xf numFmtId="0" fontId="7" fillId="3" borderId="1" xfId="2" applyFill="1" applyBorder="1" applyAlignment="1">
      <alignment horizontal="center" vertical="center" wrapText="1"/>
    </xf>
    <xf numFmtId="0" fontId="7" fillId="3" borderId="1" xfId="2" applyFill="1" applyBorder="1" applyAlignment="1">
      <alignment vertical="center"/>
    </xf>
    <xf numFmtId="0" fontId="7" fillId="0" borderId="1" xfId="2" applyBorder="1" applyAlignment="1">
      <alignment horizontal="center" vertical="top"/>
    </xf>
    <xf numFmtId="14" fontId="7" fillId="0" borderId="1" xfId="2" applyNumberFormat="1" applyBorder="1" applyAlignment="1">
      <alignment horizontal="center" vertical="top"/>
    </xf>
    <xf numFmtId="0" fontId="7" fillId="0" borderId="1" xfId="2" applyBorder="1" applyAlignment="1">
      <alignment vertical="top"/>
    </xf>
    <xf numFmtId="0" fontId="7" fillId="0" borderId="1" xfId="2" applyBorder="1" applyAlignment="1">
      <alignment vertical="top" wrapText="1"/>
    </xf>
  </cellXfs>
  <cellStyles count="3">
    <cellStyle name="標準" xfId="0" builtinId="0"/>
    <cellStyle name="標準 2" xfId="1" xr:uid="{D81C146C-FB9B-47D4-8B77-97934305168B}"/>
    <cellStyle name="標準 3" xfId="2" xr:uid="{8CF2B74E-AD3C-4D28-B747-9F954B6BEF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BF21-BEAE-4C6F-9DC4-AD229C7328F0}">
  <dimension ref="E1:S59"/>
  <sheetViews>
    <sheetView topLeftCell="E1" workbookViewId="0">
      <selection activeCell="N15" sqref="N15"/>
    </sheetView>
  </sheetViews>
  <sheetFormatPr defaultRowHeight="18" x14ac:dyDescent="0.55000000000000004"/>
  <cols>
    <col min="7" max="7" width="1.83203125" bestFit="1" customWidth="1"/>
    <col min="8" max="8" width="17.08203125" bestFit="1" customWidth="1"/>
    <col min="9" max="9" width="10.25" customWidth="1"/>
    <col min="10" max="10" width="2.08203125" bestFit="1" customWidth="1"/>
    <col min="11" max="11" width="5.33203125" bestFit="1" customWidth="1"/>
    <col min="12" max="12" width="2.08203125" bestFit="1" customWidth="1"/>
    <col min="13" max="13" width="10.33203125" bestFit="1" customWidth="1"/>
    <col min="14" max="14" width="10.33203125" customWidth="1"/>
    <col min="15" max="15" width="13.83203125" bestFit="1" customWidth="1"/>
    <col min="16" max="17" width="13.83203125" customWidth="1"/>
    <col min="18" max="18" width="16.5" bestFit="1" customWidth="1"/>
  </cols>
  <sheetData>
    <row r="1" spans="5:19" x14ac:dyDescent="0.55000000000000004">
      <c r="E1" t="s">
        <v>0</v>
      </c>
    </row>
    <row r="2" spans="5:19" x14ac:dyDescent="0.55000000000000004">
      <c r="F2" t="s">
        <v>1</v>
      </c>
      <c r="G2" t="s">
        <v>2</v>
      </c>
    </row>
    <row r="3" spans="5:19" x14ac:dyDescent="0.55000000000000004">
      <c r="G3" t="s">
        <v>3</v>
      </c>
      <c r="H3" t="s">
        <v>4</v>
      </c>
      <c r="I3" t="s">
        <v>5</v>
      </c>
      <c r="J3" t="str">
        <f>IF(LEN(K3)&gt;0,"(","")</f>
        <v>(</v>
      </c>
      <c r="K3">
        <v>20</v>
      </c>
      <c r="L3" t="str">
        <f>IF(LEN(K3)&gt;0,")","")</f>
        <v>)</v>
      </c>
      <c r="M3" t="s">
        <v>6</v>
      </c>
      <c r="O3" t="s">
        <v>7</v>
      </c>
      <c r="P3" t="s">
        <v>8</v>
      </c>
      <c r="Q3" t="str">
        <f>""""&amp;R3&amp;""""</f>
        <v>"備品番号"</v>
      </c>
      <c r="R3" t="s">
        <v>9</v>
      </c>
    </row>
    <row r="4" spans="5:19" x14ac:dyDescent="0.55000000000000004">
      <c r="G4" t="s">
        <v>10</v>
      </c>
      <c r="H4" t="s">
        <v>11</v>
      </c>
      <c r="I4" t="s">
        <v>5</v>
      </c>
      <c r="J4" t="str">
        <f t="shared" ref="J4:J57" si="0">IF(LEN(K4)&gt;0,"(","")</f>
        <v>(</v>
      </c>
      <c r="K4">
        <v>100</v>
      </c>
      <c r="L4" t="str">
        <f t="shared" ref="L4:L57" si="1">IF(LEN(K4)&gt;0,")","")</f>
        <v>)</v>
      </c>
      <c r="P4" t="s">
        <v>8</v>
      </c>
      <c r="Q4" t="str">
        <f t="shared" ref="Q4:Q10" si="2">""""&amp;R4&amp;""""</f>
        <v>"備品名称"</v>
      </c>
      <c r="R4" t="s">
        <v>12</v>
      </c>
    </row>
    <row r="5" spans="5:19" x14ac:dyDescent="0.55000000000000004">
      <c r="G5" t="s">
        <v>10</v>
      </c>
      <c r="H5" t="s">
        <v>13</v>
      </c>
      <c r="I5" t="s">
        <v>5</v>
      </c>
      <c r="J5" t="str">
        <f t="shared" si="0"/>
        <v>(</v>
      </c>
      <c r="K5">
        <v>100</v>
      </c>
      <c r="L5" t="str">
        <f t="shared" si="1"/>
        <v>)</v>
      </c>
      <c r="P5" t="s">
        <v>8</v>
      </c>
      <c r="Q5" t="str">
        <f t="shared" si="2"/>
        <v>"型番"</v>
      </c>
      <c r="R5" t="s">
        <v>14</v>
      </c>
    </row>
    <row r="6" spans="5:19" x14ac:dyDescent="0.55000000000000004">
      <c r="G6" t="s">
        <v>10</v>
      </c>
      <c r="H6" t="s">
        <v>15</v>
      </c>
      <c r="I6" t="s">
        <v>5</v>
      </c>
      <c r="J6" t="str">
        <f t="shared" si="0"/>
        <v>(</v>
      </c>
      <c r="K6">
        <v>100</v>
      </c>
      <c r="L6" t="str">
        <f t="shared" si="1"/>
        <v>)</v>
      </c>
      <c r="P6" t="s">
        <v>8</v>
      </c>
      <c r="Q6" t="str">
        <f t="shared" si="2"/>
        <v>"メーカー"</v>
      </c>
      <c r="R6" t="s">
        <v>16</v>
      </c>
    </row>
    <row r="7" spans="5:19" x14ac:dyDescent="0.55000000000000004">
      <c r="G7" t="s">
        <v>10</v>
      </c>
      <c r="H7" t="s">
        <v>17</v>
      </c>
      <c r="I7" t="s">
        <v>18</v>
      </c>
      <c r="J7" t="str">
        <f t="shared" si="0"/>
        <v/>
      </c>
      <c r="L7" t="str">
        <f t="shared" si="1"/>
        <v/>
      </c>
      <c r="M7" t="s">
        <v>6</v>
      </c>
      <c r="P7" t="s">
        <v>8</v>
      </c>
      <c r="Q7" t="str">
        <f t="shared" si="2"/>
        <v>"分類コード"</v>
      </c>
      <c r="R7" t="s">
        <v>19</v>
      </c>
      <c r="S7" t="s">
        <v>20</v>
      </c>
    </row>
    <row r="8" spans="5:19" x14ac:dyDescent="0.55000000000000004">
      <c r="G8" t="s">
        <v>10</v>
      </c>
      <c r="H8" t="s">
        <v>21</v>
      </c>
      <c r="I8" t="s">
        <v>22</v>
      </c>
      <c r="J8" t="str">
        <f>IF(LEN(K8)&gt;0,"(","")</f>
        <v/>
      </c>
      <c r="L8" t="str">
        <f>IF(LEN(K8)&gt;0,")","")</f>
        <v/>
      </c>
      <c r="P8" t="s">
        <v>8</v>
      </c>
      <c r="Q8" t="str">
        <f>""""&amp;R8&amp;""""</f>
        <v>"貸出可能フラグ"</v>
      </c>
      <c r="R8" t="s">
        <v>23</v>
      </c>
      <c r="S8" t="s">
        <v>24</v>
      </c>
    </row>
    <row r="9" spans="5:19" x14ac:dyDescent="0.55000000000000004">
      <c r="G9" t="s">
        <v>10</v>
      </c>
      <c r="H9" t="s">
        <v>25</v>
      </c>
      <c r="I9" t="s">
        <v>5</v>
      </c>
      <c r="J9" t="str">
        <f t="shared" si="0"/>
        <v>(</v>
      </c>
      <c r="K9">
        <v>4000</v>
      </c>
      <c r="L9" t="str">
        <f t="shared" si="1"/>
        <v>)</v>
      </c>
      <c r="P9" t="s">
        <v>8</v>
      </c>
      <c r="Q9" t="str">
        <f t="shared" si="2"/>
        <v>"備考"</v>
      </c>
      <c r="R9" t="s">
        <v>26</v>
      </c>
    </row>
    <row r="10" spans="5:19" x14ac:dyDescent="0.55000000000000004">
      <c r="G10" t="s">
        <v>10</v>
      </c>
      <c r="H10" t="s">
        <v>27</v>
      </c>
      <c r="I10" t="s">
        <v>22</v>
      </c>
      <c r="J10" t="str">
        <f t="shared" si="0"/>
        <v/>
      </c>
      <c r="L10" t="str">
        <f t="shared" si="1"/>
        <v/>
      </c>
      <c r="M10" t="s">
        <v>6</v>
      </c>
      <c r="N10" t="s">
        <v>28</v>
      </c>
      <c r="P10" t="s">
        <v>8</v>
      </c>
      <c r="Q10" t="str">
        <f t="shared" si="2"/>
        <v>"削除フラグ"</v>
      </c>
      <c r="R10" t="s">
        <v>29</v>
      </c>
      <c r="S10" t="s">
        <v>30</v>
      </c>
    </row>
    <row r="11" spans="5:19" x14ac:dyDescent="0.55000000000000004">
      <c r="G11" t="s">
        <v>31</v>
      </c>
      <c r="H11" t="s">
        <v>8</v>
      </c>
      <c r="I11" t="str">
        <f>""""&amp;E1&amp;""""</f>
        <v>"備品マスター"</v>
      </c>
      <c r="J11" t="s">
        <v>32</v>
      </c>
      <c r="L11" t="str">
        <f t="shared" si="1"/>
        <v/>
      </c>
    </row>
    <row r="12" spans="5:19" x14ac:dyDescent="0.55000000000000004">
      <c r="E12" t="s">
        <v>33</v>
      </c>
      <c r="J12" t="str">
        <f t="shared" si="0"/>
        <v/>
      </c>
      <c r="L12" t="str">
        <f t="shared" si="1"/>
        <v/>
      </c>
    </row>
    <row r="13" spans="5:19" x14ac:dyDescent="0.55000000000000004">
      <c r="F13" t="s">
        <v>1</v>
      </c>
      <c r="G13" t="s">
        <v>34</v>
      </c>
      <c r="L13" t="str">
        <f t="shared" si="1"/>
        <v/>
      </c>
    </row>
    <row r="14" spans="5:19" x14ac:dyDescent="0.55000000000000004">
      <c r="G14" t="s">
        <v>3</v>
      </c>
      <c r="H14" t="s">
        <v>35</v>
      </c>
      <c r="I14" t="s">
        <v>18</v>
      </c>
      <c r="J14" t="str">
        <f t="shared" si="0"/>
        <v/>
      </c>
      <c r="L14" t="str">
        <f t="shared" si="1"/>
        <v/>
      </c>
      <c r="M14" t="s">
        <v>6</v>
      </c>
      <c r="O14" t="s">
        <v>7</v>
      </c>
      <c r="P14" t="s">
        <v>8</v>
      </c>
      <c r="Q14" t="str">
        <f t="shared" ref="Q14:Q17" si="3">""""&amp;R14&amp;""""</f>
        <v>"採番"</v>
      </c>
      <c r="R14" t="s">
        <v>36</v>
      </c>
    </row>
    <row r="15" spans="5:19" x14ac:dyDescent="0.55000000000000004">
      <c r="G15" t="s">
        <v>10</v>
      </c>
      <c r="H15" t="s">
        <v>37</v>
      </c>
      <c r="I15" t="s">
        <v>18</v>
      </c>
      <c r="J15" t="str">
        <f t="shared" si="0"/>
        <v/>
      </c>
      <c r="L15" t="str">
        <f t="shared" si="1"/>
        <v/>
      </c>
      <c r="M15" t="s">
        <v>6</v>
      </c>
      <c r="P15" t="s">
        <v>8</v>
      </c>
      <c r="Q15" t="str">
        <f t="shared" si="3"/>
        <v>"分類コード"</v>
      </c>
      <c r="R15" t="s">
        <v>19</v>
      </c>
      <c r="S15" t="s">
        <v>38</v>
      </c>
    </row>
    <row r="16" spans="5:19" x14ac:dyDescent="0.55000000000000004">
      <c r="G16" t="s">
        <v>10</v>
      </c>
      <c r="H16" t="s">
        <v>11</v>
      </c>
      <c r="I16" t="s">
        <v>39</v>
      </c>
      <c r="J16" t="str">
        <f t="shared" si="0"/>
        <v>(</v>
      </c>
      <c r="K16">
        <v>100</v>
      </c>
      <c r="L16" t="str">
        <f t="shared" si="1"/>
        <v>)</v>
      </c>
      <c r="M16" t="s">
        <v>6</v>
      </c>
      <c r="P16" t="s">
        <v>8</v>
      </c>
      <c r="Q16" t="str">
        <f t="shared" si="3"/>
        <v>"分類名称"</v>
      </c>
      <c r="R16" t="s">
        <v>40</v>
      </c>
      <c r="S16" t="s">
        <v>41</v>
      </c>
    </row>
    <row r="17" spans="5:19" x14ac:dyDescent="0.55000000000000004">
      <c r="G17" t="s">
        <v>10</v>
      </c>
      <c r="H17" t="s">
        <v>27</v>
      </c>
      <c r="I17" t="s">
        <v>22</v>
      </c>
      <c r="J17" t="str">
        <f t="shared" si="0"/>
        <v/>
      </c>
      <c r="L17" t="str">
        <f t="shared" si="1"/>
        <v/>
      </c>
      <c r="M17" t="s">
        <v>6</v>
      </c>
      <c r="N17" t="s">
        <v>28</v>
      </c>
      <c r="P17" t="s">
        <v>8</v>
      </c>
      <c r="Q17" t="str">
        <f t="shared" si="3"/>
        <v>"削除フラグ"</v>
      </c>
      <c r="R17" t="s">
        <v>29</v>
      </c>
      <c r="S17" t="s">
        <v>30</v>
      </c>
    </row>
    <row r="18" spans="5:19" x14ac:dyDescent="0.55000000000000004">
      <c r="G18" t="s">
        <v>31</v>
      </c>
      <c r="H18" t="s">
        <v>8</v>
      </c>
      <c r="I18" t="str">
        <f>""""&amp;E12&amp;""""</f>
        <v>"備品分類マスター"</v>
      </c>
      <c r="J18" t="s">
        <v>32</v>
      </c>
      <c r="L18" t="str">
        <f t="shared" si="1"/>
        <v/>
      </c>
    </row>
    <row r="20" spans="5:19" x14ac:dyDescent="0.55000000000000004">
      <c r="E20" t="s">
        <v>42</v>
      </c>
      <c r="J20" t="str">
        <f t="shared" si="0"/>
        <v/>
      </c>
      <c r="L20" t="str">
        <f t="shared" si="1"/>
        <v/>
      </c>
    </row>
    <row r="21" spans="5:19" x14ac:dyDescent="0.55000000000000004">
      <c r="F21" t="s">
        <v>1</v>
      </c>
      <c r="G21" t="s">
        <v>43</v>
      </c>
      <c r="L21" t="str">
        <f t="shared" si="1"/>
        <v/>
      </c>
    </row>
    <row r="22" spans="5:19" x14ac:dyDescent="0.55000000000000004">
      <c r="G22" t="s">
        <v>3</v>
      </c>
      <c r="H22" t="s">
        <v>35</v>
      </c>
      <c r="I22" t="s">
        <v>18</v>
      </c>
      <c r="J22" t="str">
        <f t="shared" si="0"/>
        <v/>
      </c>
      <c r="L22" t="str">
        <f t="shared" si="1"/>
        <v/>
      </c>
      <c r="M22" t="s">
        <v>6</v>
      </c>
      <c r="O22" t="s">
        <v>7</v>
      </c>
      <c r="P22" t="s">
        <v>8</v>
      </c>
      <c r="Q22" t="str">
        <f t="shared" ref="Q22:Q28" si="4">""""&amp;R22&amp;""""</f>
        <v>"採番"</v>
      </c>
      <c r="R22" t="s">
        <v>36</v>
      </c>
    </row>
    <row r="23" spans="5:19" x14ac:dyDescent="0.55000000000000004">
      <c r="G23" t="s">
        <v>10</v>
      </c>
      <c r="H23" t="s">
        <v>37</v>
      </c>
      <c r="I23" t="s">
        <v>18</v>
      </c>
      <c r="J23" t="str">
        <f t="shared" si="0"/>
        <v/>
      </c>
      <c r="L23" t="str">
        <f t="shared" si="1"/>
        <v/>
      </c>
      <c r="P23" t="s">
        <v>8</v>
      </c>
      <c r="Q23" t="str">
        <f t="shared" si="4"/>
        <v>"分類コード"</v>
      </c>
      <c r="R23" t="s">
        <v>19</v>
      </c>
      <c r="S23" t="s">
        <v>38</v>
      </c>
    </row>
    <row r="24" spans="5:19" x14ac:dyDescent="0.55000000000000004">
      <c r="G24" t="s">
        <v>10</v>
      </c>
      <c r="H24" t="s">
        <v>44</v>
      </c>
      <c r="I24" t="s">
        <v>18</v>
      </c>
      <c r="J24" t="str">
        <f t="shared" si="0"/>
        <v/>
      </c>
      <c r="L24" t="str">
        <f t="shared" si="1"/>
        <v/>
      </c>
      <c r="P24" t="s">
        <v>8</v>
      </c>
      <c r="Q24" t="str">
        <f t="shared" si="4"/>
        <v>"権限"</v>
      </c>
      <c r="R24" t="s">
        <v>45</v>
      </c>
      <c r="S24" t="s">
        <v>46</v>
      </c>
    </row>
    <row r="25" spans="5:19" x14ac:dyDescent="0.55000000000000004">
      <c r="G25" t="s">
        <v>10</v>
      </c>
      <c r="H25" t="s">
        <v>47</v>
      </c>
      <c r="I25" t="s">
        <v>22</v>
      </c>
      <c r="J25" t="str">
        <f t="shared" si="0"/>
        <v/>
      </c>
      <c r="L25" t="str">
        <f t="shared" si="1"/>
        <v/>
      </c>
      <c r="M25" t="s">
        <v>6</v>
      </c>
      <c r="N25" t="s">
        <v>28</v>
      </c>
      <c r="P25" t="s">
        <v>8</v>
      </c>
      <c r="Q25" t="str">
        <f t="shared" si="4"/>
        <v>"読み込み"</v>
      </c>
      <c r="R25" t="s">
        <v>48</v>
      </c>
      <c r="S25" t="s">
        <v>49</v>
      </c>
    </row>
    <row r="26" spans="5:19" x14ac:dyDescent="0.55000000000000004">
      <c r="G26" t="s">
        <v>10</v>
      </c>
      <c r="H26" t="s">
        <v>50</v>
      </c>
      <c r="I26" t="s">
        <v>22</v>
      </c>
      <c r="J26" t="str">
        <f t="shared" si="0"/>
        <v/>
      </c>
      <c r="L26" t="str">
        <f t="shared" si="1"/>
        <v/>
      </c>
      <c r="M26" t="s">
        <v>6</v>
      </c>
      <c r="N26" t="s">
        <v>28</v>
      </c>
      <c r="P26" t="s">
        <v>8</v>
      </c>
      <c r="Q26" t="str">
        <f t="shared" si="4"/>
        <v>"書き込み"</v>
      </c>
      <c r="R26" t="s">
        <v>51</v>
      </c>
      <c r="S26" t="s">
        <v>52</v>
      </c>
    </row>
    <row r="27" spans="5:19" x14ac:dyDescent="0.55000000000000004">
      <c r="G27" t="s">
        <v>10</v>
      </c>
      <c r="H27" t="s">
        <v>53</v>
      </c>
      <c r="I27" t="s">
        <v>22</v>
      </c>
      <c r="J27" t="str">
        <f t="shared" si="0"/>
        <v/>
      </c>
      <c r="L27" t="str">
        <f t="shared" si="1"/>
        <v/>
      </c>
      <c r="M27" t="s">
        <v>6</v>
      </c>
      <c r="N27" t="s">
        <v>28</v>
      </c>
      <c r="P27" t="s">
        <v>8</v>
      </c>
      <c r="Q27" t="str">
        <f t="shared" si="4"/>
        <v>"削除"</v>
      </c>
      <c r="R27" t="s">
        <v>54</v>
      </c>
      <c r="S27" t="s">
        <v>55</v>
      </c>
    </row>
    <row r="28" spans="5:19" x14ac:dyDescent="0.55000000000000004">
      <c r="G28" t="s">
        <v>10</v>
      </c>
      <c r="H28" t="s">
        <v>27</v>
      </c>
      <c r="I28" t="s">
        <v>22</v>
      </c>
      <c r="J28" t="str">
        <f t="shared" si="0"/>
        <v/>
      </c>
      <c r="L28" t="str">
        <f t="shared" si="1"/>
        <v/>
      </c>
      <c r="M28" t="s">
        <v>6</v>
      </c>
      <c r="N28" t="s">
        <v>28</v>
      </c>
      <c r="P28" t="s">
        <v>8</v>
      </c>
      <c r="Q28" t="str">
        <f t="shared" si="4"/>
        <v>"削除フラグ"</v>
      </c>
      <c r="R28" t="s">
        <v>29</v>
      </c>
      <c r="S28" t="s">
        <v>30</v>
      </c>
    </row>
    <row r="29" spans="5:19" x14ac:dyDescent="0.55000000000000004">
      <c r="G29" t="s">
        <v>31</v>
      </c>
      <c r="H29" t="s">
        <v>8</v>
      </c>
      <c r="I29" t="str">
        <f>""""&amp;E20&amp;""""</f>
        <v>"備品分類データ"</v>
      </c>
      <c r="J29" t="s">
        <v>32</v>
      </c>
      <c r="L29" t="str">
        <f t="shared" si="1"/>
        <v/>
      </c>
    </row>
    <row r="31" spans="5:19" x14ac:dyDescent="0.55000000000000004">
      <c r="E31" t="s">
        <v>56</v>
      </c>
      <c r="J31" t="str">
        <f t="shared" si="0"/>
        <v/>
      </c>
      <c r="L31" t="str">
        <f t="shared" si="1"/>
        <v/>
      </c>
    </row>
    <row r="32" spans="5:19" x14ac:dyDescent="0.55000000000000004">
      <c r="F32" t="s">
        <v>1</v>
      </c>
      <c r="G32" t="s">
        <v>57</v>
      </c>
      <c r="L32" t="str">
        <f t="shared" si="1"/>
        <v/>
      </c>
    </row>
    <row r="33" spans="5:19" x14ac:dyDescent="0.55000000000000004">
      <c r="G33" t="s">
        <v>3</v>
      </c>
      <c r="H33" t="s">
        <v>44</v>
      </c>
      <c r="I33" t="s">
        <v>18</v>
      </c>
      <c r="J33" t="str">
        <f t="shared" si="0"/>
        <v/>
      </c>
      <c r="L33" t="str">
        <f t="shared" si="1"/>
        <v/>
      </c>
      <c r="M33" t="s">
        <v>6</v>
      </c>
      <c r="O33" t="s">
        <v>7</v>
      </c>
      <c r="P33" t="s">
        <v>8</v>
      </c>
      <c r="Q33" t="str">
        <f t="shared" ref="Q33:Q36" si="5">""""&amp;R33&amp;""""</f>
        <v>"権限"</v>
      </c>
      <c r="R33" t="s">
        <v>45</v>
      </c>
      <c r="S33" t="s">
        <v>58</v>
      </c>
    </row>
    <row r="34" spans="5:19" x14ac:dyDescent="0.55000000000000004">
      <c r="G34" t="s">
        <v>10</v>
      </c>
      <c r="H34" t="s">
        <v>59</v>
      </c>
      <c r="I34" t="s">
        <v>5</v>
      </c>
      <c r="J34" t="str">
        <f t="shared" si="0"/>
        <v>(</v>
      </c>
      <c r="K34">
        <v>20</v>
      </c>
      <c r="L34" t="str">
        <f t="shared" si="1"/>
        <v>)</v>
      </c>
      <c r="M34" t="s">
        <v>6</v>
      </c>
      <c r="P34" t="s">
        <v>8</v>
      </c>
      <c r="Q34" t="str">
        <f t="shared" si="5"/>
        <v>"権限の名称"</v>
      </c>
      <c r="R34" t="s">
        <v>60</v>
      </c>
    </row>
    <row r="35" spans="5:19" x14ac:dyDescent="0.55000000000000004">
      <c r="G35" t="s">
        <v>10</v>
      </c>
      <c r="H35" t="s">
        <v>25</v>
      </c>
      <c r="I35" t="s">
        <v>5</v>
      </c>
      <c r="J35" t="str">
        <f t="shared" si="0"/>
        <v>(</v>
      </c>
      <c r="K35">
        <v>4000</v>
      </c>
      <c r="L35" t="str">
        <f t="shared" si="1"/>
        <v>)</v>
      </c>
      <c r="M35" t="s">
        <v>6</v>
      </c>
      <c r="P35" t="s">
        <v>8</v>
      </c>
      <c r="Q35" t="str">
        <f t="shared" si="5"/>
        <v>"備考"</v>
      </c>
      <c r="R35" t="s">
        <v>26</v>
      </c>
      <c r="S35" t="s">
        <v>61</v>
      </c>
    </row>
    <row r="36" spans="5:19" x14ac:dyDescent="0.55000000000000004">
      <c r="G36" t="s">
        <v>10</v>
      </c>
      <c r="H36" t="s">
        <v>27</v>
      </c>
      <c r="I36" t="s">
        <v>22</v>
      </c>
      <c r="J36" t="str">
        <f t="shared" si="0"/>
        <v/>
      </c>
      <c r="L36" t="str">
        <f t="shared" si="1"/>
        <v/>
      </c>
      <c r="M36" t="s">
        <v>6</v>
      </c>
      <c r="N36" t="s">
        <v>28</v>
      </c>
      <c r="P36" t="s">
        <v>8</v>
      </c>
      <c r="Q36" t="str">
        <f t="shared" si="5"/>
        <v>"削除"</v>
      </c>
      <c r="R36" t="s">
        <v>54</v>
      </c>
      <c r="S36" t="s">
        <v>62</v>
      </c>
    </row>
    <row r="37" spans="5:19" x14ac:dyDescent="0.55000000000000004">
      <c r="G37" t="s">
        <v>31</v>
      </c>
      <c r="H37" t="s">
        <v>8</v>
      </c>
      <c r="I37" t="str">
        <f>""""&amp;E31&amp;""""</f>
        <v>"権限マスター"</v>
      </c>
      <c r="J37" t="s">
        <v>32</v>
      </c>
      <c r="L37" t="str">
        <f t="shared" si="1"/>
        <v/>
      </c>
    </row>
    <row r="39" spans="5:19" x14ac:dyDescent="0.55000000000000004">
      <c r="E39" t="s">
        <v>63</v>
      </c>
      <c r="J39" t="str">
        <f t="shared" si="0"/>
        <v/>
      </c>
      <c r="L39" t="str">
        <f t="shared" si="1"/>
        <v/>
      </c>
    </row>
    <row r="40" spans="5:19" x14ac:dyDescent="0.55000000000000004">
      <c r="F40" t="s">
        <v>1</v>
      </c>
      <c r="G40" t="s">
        <v>64</v>
      </c>
      <c r="L40" t="str">
        <f t="shared" si="1"/>
        <v/>
      </c>
    </row>
    <row r="41" spans="5:19" x14ac:dyDescent="0.55000000000000004">
      <c r="G41" t="s">
        <v>3</v>
      </c>
      <c r="H41" t="s">
        <v>65</v>
      </c>
      <c r="I41" t="s">
        <v>18</v>
      </c>
      <c r="J41" t="str">
        <f t="shared" si="0"/>
        <v/>
      </c>
      <c r="L41" t="str">
        <f t="shared" si="1"/>
        <v/>
      </c>
      <c r="M41" t="s">
        <v>6</v>
      </c>
      <c r="O41" t="s">
        <v>7</v>
      </c>
      <c r="P41" t="s">
        <v>8</v>
      </c>
      <c r="Q41" t="str">
        <f t="shared" ref="Q41:Q44" si="6">""""&amp;R41&amp;""""</f>
        <v>"社員番号"</v>
      </c>
      <c r="R41" t="s">
        <v>66</v>
      </c>
    </row>
    <row r="42" spans="5:19" x14ac:dyDescent="0.55000000000000004">
      <c r="G42" t="s">
        <v>10</v>
      </c>
      <c r="H42" t="s">
        <v>11</v>
      </c>
      <c r="I42" t="s">
        <v>5</v>
      </c>
      <c r="J42" t="str">
        <f t="shared" si="0"/>
        <v>(</v>
      </c>
      <c r="K42">
        <v>40</v>
      </c>
      <c r="L42" t="str">
        <f t="shared" si="1"/>
        <v>)</v>
      </c>
      <c r="M42" t="s">
        <v>6</v>
      </c>
      <c r="P42" t="s">
        <v>8</v>
      </c>
      <c r="Q42" t="str">
        <f t="shared" si="6"/>
        <v>"氏名"</v>
      </c>
      <c r="R42" t="s">
        <v>67</v>
      </c>
      <c r="S42" t="s">
        <v>68</v>
      </c>
    </row>
    <row r="43" spans="5:19" x14ac:dyDescent="0.55000000000000004">
      <c r="G43" t="s">
        <v>10</v>
      </c>
      <c r="H43" t="s">
        <v>44</v>
      </c>
      <c r="I43" t="s">
        <v>18</v>
      </c>
      <c r="J43" t="str">
        <f t="shared" si="0"/>
        <v/>
      </c>
      <c r="L43" t="str">
        <f t="shared" si="1"/>
        <v/>
      </c>
      <c r="M43" t="s">
        <v>6</v>
      </c>
      <c r="P43" t="s">
        <v>8</v>
      </c>
      <c r="Q43" t="str">
        <f t="shared" si="6"/>
        <v>"権限"</v>
      </c>
      <c r="R43" t="s">
        <v>45</v>
      </c>
    </row>
    <row r="44" spans="5:19" x14ac:dyDescent="0.55000000000000004">
      <c r="G44" t="s">
        <v>10</v>
      </c>
      <c r="H44" t="s">
        <v>27</v>
      </c>
      <c r="I44" t="s">
        <v>22</v>
      </c>
      <c r="J44" t="str">
        <f t="shared" si="0"/>
        <v/>
      </c>
      <c r="L44" t="str">
        <f t="shared" si="1"/>
        <v/>
      </c>
      <c r="M44" t="s">
        <v>6</v>
      </c>
      <c r="N44" t="s">
        <v>28</v>
      </c>
      <c r="P44" t="s">
        <v>8</v>
      </c>
      <c r="Q44" t="str">
        <f t="shared" si="6"/>
        <v>"削除フラグ"</v>
      </c>
      <c r="R44" t="s">
        <v>29</v>
      </c>
      <c r="S44" t="s">
        <v>69</v>
      </c>
    </row>
    <row r="45" spans="5:19" x14ac:dyDescent="0.55000000000000004">
      <c r="G45" t="s">
        <v>31</v>
      </c>
      <c r="H45" t="s">
        <v>8</v>
      </c>
      <c r="I45" t="str">
        <f>""""&amp;E39&amp;""""</f>
        <v>"社員データ"</v>
      </c>
      <c r="J45" t="s">
        <v>32</v>
      </c>
      <c r="L45" t="str">
        <f t="shared" si="1"/>
        <v/>
      </c>
    </row>
    <row r="46" spans="5:19" x14ac:dyDescent="0.55000000000000004">
      <c r="J46" t="str">
        <f t="shared" si="0"/>
        <v/>
      </c>
      <c r="L46" t="str">
        <f t="shared" si="1"/>
        <v/>
      </c>
    </row>
    <row r="47" spans="5:19" x14ac:dyDescent="0.55000000000000004">
      <c r="E47" t="s">
        <v>70</v>
      </c>
      <c r="J47" t="str">
        <f t="shared" si="0"/>
        <v/>
      </c>
      <c r="L47" t="str">
        <f t="shared" si="1"/>
        <v/>
      </c>
    </row>
    <row r="48" spans="5:19" x14ac:dyDescent="0.55000000000000004">
      <c r="F48" t="s">
        <v>1</v>
      </c>
      <c r="G48" t="s">
        <v>71</v>
      </c>
      <c r="L48" t="str">
        <f t="shared" si="1"/>
        <v/>
      </c>
    </row>
    <row r="49" spans="7:19" x14ac:dyDescent="0.55000000000000004">
      <c r="G49" t="s">
        <v>3</v>
      </c>
      <c r="H49" s="1" t="s">
        <v>72</v>
      </c>
      <c r="I49" t="s">
        <v>5</v>
      </c>
      <c r="J49" t="str">
        <f t="shared" si="0"/>
        <v>(</v>
      </c>
      <c r="K49">
        <v>20</v>
      </c>
      <c r="L49" t="str">
        <f t="shared" si="1"/>
        <v>)</v>
      </c>
      <c r="M49" t="s">
        <v>6</v>
      </c>
      <c r="P49" t="s">
        <v>8</v>
      </c>
      <c r="Q49" t="str">
        <f t="shared" ref="Q49:Q57" si="7">""""&amp;R49&amp;""""</f>
        <v>"備品のシリアルNo"</v>
      </c>
      <c r="R49" t="s">
        <v>73</v>
      </c>
      <c r="S49" t="s">
        <v>74</v>
      </c>
    </row>
    <row r="50" spans="7:19" x14ac:dyDescent="0.55000000000000004">
      <c r="G50" t="s">
        <v>10</v>
      </c>
      <c r="H50" s="2" t="s">
        <v>4</v>
      </c>
      <c r="I50" t="s">
        <v>5</v>
      </c>
      <c r="J50" t="str">
        <f t="shared" si="0"/>
        <v>(</v>
      </c>
      <c r="K50">
        <v>20</v>
      </c>
      <c r="L50" t="str">
        <f t="shared" si="1"/>
        <v>)</v>
      </c>
      <c r="M50" t="s">
        <v>6</v>
      </c>
      <c r="P50" t="s">
        <v>8</v>
      </c>
      <c r="Q50" t="str">
        <f t="shared" si="7"/>
        <v>"備品番号"</v>
      </c>
      <c r="R50" t="s">
        <v>75</v>
      </c>
      <c r="S50" t="s">
        <v>76</v>
      </c>
    </row>
    <row r="51" spans="7:19" x14ac:dyDescent="0.55000000000000004">
      <c r="G51" t="s">
        <v>10</v>
      </c>
      <c r="H51" t="s">
        <v>77</v>
      </c>
      <c r="I51" t="s">
        <v>5</v>
      </c>
      <c r="J51" t="str">
        <f t="shared" si="0"/>
        <v>(</v>
      </c>
      <c r="K51">
        <v>20</v>
      </c>
      <c r="L51" t="str">
        <f t="shared" si="1"/>
        <v>)</v>
      </c>
      <c r="P51" t="s">
        <v>8</v>
      </c>
      <c r="Q51" t="str">
        <f t="shared" si="7"/>
        <v>"親備品番号"</v>
      </c>
      <c r="R51" t="s">
        <v>78</v>
      </c>
      <c r="S51" t="s">
        <v>79</v>
      </c>
    </row>
    <row r="52" spans="7:19" x14ac:dyDescent="0.55000000000000004">
      <c r="G52" t="s">
        <v>10</v>
      </c>
      <c r="H52" t="s">
        <v>65</v>
      </c>
      <c r="I52" t="s">
        <v>18</v>
      </c>
      <c r="J52" t="str">
        <f t="shared" si="0"/>
        <v/>
      </c>
      <c r="L52" t="str">
        <f t="shared" si="1"/>
        <v/>
      </c>
      <c r="P52" t="s">
        <v>8</v>
      </c>
      <c r="Q52" t="str">
        <f t="shared" si="7"/>
        <v>"貸出先ユーザーの社員番号"</v>
      </c>
      <c r="R52" t="s">
        <v>80</v>
      </c>
    </row>
    <row r="53" spans="7:19" x14ac:dyDescent="0.55000000000000004">
      <c r="G53" t="s">
        <v>10</v>
      </c>
      <c r="H53" t="s">
        <v>81</v>
      </c>
      <c r="I53" t="s">
        <v>82</v>
      </c>
      <c r="J53" t="str">
        <f t="shared" si="0"/>
        <v/>
      </c>
      <c r="L53" t="str">
        <f t="shared" si="1"/>
        <v/>
      </c>
      <c r="P53" t="s">
        <v>8</v>
      </c>
      <c r="Q53" t="str">
        <f t="shared" si="7"/>
        <v>"貸出開始日"</v>
      </c>
      <c r="R53" t="s">
        <v>83</v>
      </c>
    </row>
    <row r="54" spans="7:19" x14ac:dyDescent="0.55000000000000004">
      <c r="G54" t="s">
        <v>10</v>
      </c>
      <c r="H54" t="s">
        <v>84</v>
      </c>
      <c r="I54" t="s">
        <v>82</v>
      </c>
      <c r="J54" t="str">
        <f t="shared" si="0"/>
        <v/>
      </c>
      <c r="L54" t="str">
        <f t="shared" si="1"/>
        <v/>
      </c>
      <c r="P54" t="s">
        <v>8</v>
      </c>
      <c r="Q54" t="str">
        <f t="shared" si="7"/>
        <v>"返却予定日"</v>
      </c>
      <c r="R54" t="s">
        <v>85</v>
      </c>
    </row>
    <row r="55" spans="7:19" x14ac:dyDescent="0.55000000000000004">
      <c r="G55" t="s">
        <v>10</v>
      </c>
      <c r="H55" t="s">
        <v>86</v>
      </c>
      <c r="I55" t="s">
        <v>82</v>
      </c>
      <c r="J55" t="str">
        <f t="shared" si="0"/>
        <v/>
      </c>
      <c r="L55" t="str">
        <f t="shared" si="1"/>
        <v/>
      </c>
      <c r="P55" t="s">
        <v>8</v>
      </c>
      <c r="Q55" t="str">
        <f t="shared" si="7"/>
        <v>"最終所在確認日"</v>
      </c>
      <c r="R55" t="s">
        <v>87</v>
      </c>
    </row>
    <row r="56" spans="7:19" x14ac:dyDescent="0.55000000000000004">
      <c r="G56" t="s">
        <v>10</v>
      </c>
      <c r="H56" t="s">
        <v>88</v>
      </c>
      <c r="I56" t="s">
        <v>82</v>
      </c>
      <c r="J56" t="str">
        <f t="shared" si="0"/>
        <v/>
      </c>
      <c r="L56" t="str">
        <f t="shared" si="1"/>
        <v/>
      </c>
      <c r="P56" t="s">
        <v>8</v>
      </c>
      <c r="Q56" t="str">
        <f t="shared" si="7"/>
        <v>"最終所在確認日"</v>
      </c>
      <c r="R56" t="s">
        <v>87</v>
      </c>
    </row>
    <row r="57" spans="7:19" x14ac:dyDescent="0.55000000000000004">
      <c r="G57" t="s">
        <v>10</v>
      </c>
      <c r="H57" t="s">
        <v>27</v>
      </c>
      <c r="I57" t="s">
        <v>22</v>
      </c>
      <c r="J57" t="str">
        <f t="shared" si="0"/>
        <v/>
      </c>
      <c r="L57" t="str">
        <f t="shared" si="1"/>
        <v/>
      </c>
      <c r="M57" t="s">
        <v>6</v>
      </c>
      <c r="N57" t="s">
        <v>89</v>
      </c>
      <c r="P57" t="s">
        <v>8</v>
      </c>
      <c r="Q57" t="str">
        <f t="shared" si="7"/>
        <v>"削除フラグ"</v>
      </c>
      <c r="R57" t="s">
        <v>29</v>
      </c>
      <c r="S57" t="s">
        <v>30</v>
      </c>
    </row>
    <row r="58" spans="7:19" x14ac:dyDescent="0.55000000000000004">
      <c r="G58" t="s">
        <v>10</v>
      </c>
      <c r="H58" t="s">
        <v>7</v>
      </c>
      <c r="J58" t="s">
        <v>3</v>
      </c>
      <c r="K58" t="s">
        <v>90</v>
      </c>
      <c r="L58" t="s">
        <v>31</v>
      </c>
    </row>
    <row r="59" spans="7:19" x14ac:dyDescent="0.55000000000000004">
      <c r="G59" t="s">
        <v>31</v>
      </c>
      <c r="H59" t="s">
        <v>8</v>
      </c>
      <c r="I59" t="str">
        <f>""""&amp;E47&amp;""""</f>
        <v>"備品データ"</v>
      </c>
      <c r="J59" t="s">
        <v>32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48CD-E748-417E-A96F-97D7CE74A1FF}">
  <dimension ref="A1:F26"/>
  <sheetViews>
    <sheetView showGridLines="0" workbookViewId="0">
      <selection activeCell="B8" sqref="B8"/>
    </sheetView>
  </sheetViews>
  <sheetFormatPr defaultColWidth="9" defaultRowHeight="18" x14ac:dyDescent="0.55000000000000004"/>
  <cols>
    <col min="1" max="1" width="9" style="12"/>
    <col min="2" max="3" width="10.08203125" style="11" bestFit="1" customWidth="1"/>
    <col min="4" max="4" width="14.33203125" style="11" bestFit="1" customWidth="1"/>
    <col min="5" max="5" width="64.25" style="12" bestFit="1" customWidth="1"/>
    <col min="6" max="6" width="15.83203125" style="12" bestFit="1" customWidth="1"/>
    <col min="7" max="16384" width="9" style="12"/>
  </cols>
  <sheetData>
    <row r="1" spans="1:6" ht="22.5" x14ac:dyDescent="0.65">
      <c r="A1" s="10" t="str">
        <f ca="1">RIGHT(CELL("filename",A1),LEN(CELL("filename",A1))-FIND("]",CELL("filename",A1)))</f>
        <v>改訂履歴</v>
      </c>
    </row>
    <row r="3" spans="1:6" ht="36" x14ac:dyDescent="0.55000000000000004">
      <c r="B3" s="13" t="s">
        <v>91</v>
      </c>
      <c r="C3" s="14" t="s">
        <v>92</v>
      </c>
      <c r="D3" s="14" t="s">
        <v>93</v>
      </c>
      <c r="E3" s="15" t="s">
        <v>94</v>
      </c>
      <c r="F3" s="15" t="s">
        <v>95</v>
      </c>
    </row>
    <row r="4" spans="1:6" x14ac:dyDescent="0.55000000000000004">
      <c r="B4" s="16" t="s">
        <v>96</v>
      </c>
      <c r="C4" s="17">
        <v>44728</v>
      </c>
      <c r="D4" s="17"/>
      <c r="E4" s="18" t="s">
        <v>97</v>
      </c>
      <c r="F4" s="18" t="s">
        <v>98</v>
      </c>
    </row>
    <row r="5" spans="1:6" ht="90" x14ac:dyDescent="0.55000000000000004">
      <c r="B5" s="16" t="s">
        <v>99</v>
      </c>
      <c r="C5" s="17">
        <v>44734</v>
      </c>
      <c r="D5" s="17" t="s">
        <v>71</v>
      </c>
      <c r="E5" s="19" t="s">
        <v>100</v>
      </c>
      <c r="F5" s="18" t="s">
        <v>98</v>
      </c>
    </row>
    <row r="6" spans="1:6" x14ac:dyDescent="0.55000000000000004">
      <c r="B6" s="16" t="s">
        <v>99</v>
      </c>
      <c r="C6" s="17">
        <v>44734</v>
      </c>
      <c r="D6" s="16" t="s">
        <v>2</v>
      </c>
      <c r="E6" s="18" t="s">
        <v>101</v>
      </c>
      <c r="F6" s="18" t="s">
        <v>98</v>
      </c>
    </row>
    <row r="7" spans="1:6" x14ac:dyDescent="0.55000000000000004">
      <c r="B7" s="16" t="s">
        <v>99</v>
      </c>
      <c r="C7" s="17">
        <v>44734</v>
      </c>
      <c r="D7" s="16" t="s">
        <v>102</v>
      </c>
      <c r="E7" s="18" t="s">
        <v>103</v>
      </c>
      <c r="F7" s="18" t="s">
        <v>98</v>
      </c>
    </row>
    <row r="8" spans="1:6" x14ac:dyDescent="0.55000000000000004">
      <c r="B8" s="16"/>
      <c r="C8" s="16"/>
      <c r="D8" s="16"/>
      <c r="E8" s="18"/>
      <c r="F8" s="18"/>
    </row>
    <row r="9" spans="1:6" x14ac:dyDescent="0.55000000000000004">
      <c r="B9" s="16"/>
      <c r="C9" s="16"/>
      <c r="D9" s="16"/>
      <c r="E9" s="18"/>
      <c r="F9" s="18"/>
    </row>
    <row r="10" spans="1:6" x14ac:dyDescent="0.55000000000000004">
      <c r="B10" s="16"/>
      <c r="C10" s="16"/>
      <c r="D10" s="16"/>
      <c r="E10" s="18"/>
      <c r="F10" s="18"/>
    </row>
    <row r="11" spans="1:6" x14ac:dyDescent="0.55000000000000004">
      <c r="B11" s="16"/>
      <c r="C11" s="16"/>
      <c r="D11" s="16"/>
      <c r="E11" s="18"/>
      <c r="F11" s="18"/>
    </row>
    <row r="12" spans="1:6" x14ac:dyDescent="0.55000000000000004">
      <c r="B12" s="16"/>
      <c r="C12" s="16"/>
      <c r="D12" s="16"/>
      <c r="E12" s="18"/>
      <c r="F12" s="18"/>
    </row>
    <row r="13" spans="1:6" x14ac:dyDescent="0.55000000000000004">
      <c r="B13" s="16"/>
      <c r="C13" s="16"/>
      <c r="D13" s="16"/>
      <c r="E13" s="18"/>
      <c r="F13" s="18"/>
    </row>
    <row r="14" spans="1:6" x14ac:dyDescent="0.55000000000000004">
      <c r="B14" s="16"/>
      <c r="C14" s="16"/>
      <c r="D14" s="16"/>
      <c r="E14" s="18"/>
      <c r="F14" s="18"/>
    </row>
    <row r="15" spans="1:6" x14ac:dyDescent="0.55000000000000004">
      <c r="B15" s="16"/>
      <c r="C15" s="16"/>
      <c r="D15" s="16"/>
      <c r="E15" s="18"/>
      <c r="F15" s="18"/>
    </row>
    <row r="16" spans="1:6" x14ac:dyDescent="0.55000000000000004">
      <c r="B16" s="16"/>
      <c r="C16" s="16"/>
      <c r="D16" s="16"/>
      <c r="E16" s="18"/>
      <c r="F16" s="18"/>
    </row>
    <row r="17" spans="2:6" x14ac:dyDescent="0.55000000000000004">
      <c r="B17" s="16"/>
      <c r="C17" s="16"/>
      <c r="D17" s="16"/>
      <c r="E17" s="18"/>
      <c r="F17" s="18"/>
    </row>
    <row r="18" spans="2:6" x14ac:dyDescent="0.55000000000000004">
      <c r="B18" s="16"/>
      <c r="C18" s="16"/>
      <c r="D18" s="16"/>
      <c r="E18" s="18"/>
      <c r="F18" s="18"/>
    </row>
    <row r="19" spans="2:6" x14ac:dyDescent="0.55000000000000004">
      <c r="B19" s="16"/>
      <c r="C19" s="16"/>
      <c r="D19" s="16"/>
      <c r="E19" s="18"/>
      <c r="F19" s="18"/>
    </row>
    <row r="20" spans="2:6" x14ac:dyDescent="0.55000000000000004">
      <c r="B20" s="16"/>
      <c r="C20" s="16"/>
      <c r="D20" s="16"/>
      <c r="E20" s="18"/>
      <c r="F20" s="18"/>
    </row>
    <row r="21" spans="2:6" x14ac:dyDescent="0.55000000000000004">
      <c r="B21" s="16"/>
      <c r="C21" s="16"/>
      <c r="D21" s="16"/>
      <c r="E21" s="18"/>
      <c r="F21" s="18"/>
    </row>
    <row r="22" spans="2:6" x14ac:dyDescent="0.55000000000000004">
      <c r="B22" s="16"/>
      <c r="C22" s="16"/>
      <c r="D22" s="16"/>
      <c r="E22" s="18"/>
      <c r="F22" s="18"/>
    </row>
    <row r="23" spans="2:6" x14ac:dyDescent="0.55000000000000004">
      <c r="B23" s="16"/>
      <c r="C23" s="16"/>
      <c r="D23" s="16"/>
      <c r="E23" s="18"/>
      <c r="F23" s="18"/>
    </row>
    <row r="24" spans="2:6" x14ac:dyDescent="0.55000000000000004">
      <c r="B24" s="16"/>
      <c r="C24" s="16"/>
      <c r="D24" s="16"/>
      <c r="E24" s="18"/>
      <c r="F24" s="18"/>
    </row>
    <row r="25" spans="2:6" x14ac:dyDescent="0.55000000000000004">
      <c r="B25" s="16"/>
      <c r="C25" s="16"/>
      <c r="D25" s="16"/>
      <c r="E25" s="18"/>
      <c r="F25" s="18"/>
    </row>
    <row r="26" spans="2:6" x14ac:dyDescent="0.55000000000000004">
      <c r="B26" s="16"/>
      <c r="C26" s="16"/>
      <c r="D26" s="16"/>
      <c r="E26" s="18"/>
      <c r="F26" s="18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BF89-F698-4EFC-AC3C-596B6AB27078}">
  <sheetPr>
    <tabColor rgb="FFFFFF00"/>
  </sheetPr>
  <dimension ref="A1:D7"/>
  <sheetViews>
    <sheetView workbookViewId="0">
      <selection activeCell="D7" sqref="A3:D7"/>
    </sheetView>
  </sheetViews>
  <sheetFormatPr defaultColWidth="9" defaultRowHeight="13" x14ac:dyDescent="0.55000000000000004"/>
  <cols>
    <col min="1" max="1" width="13.83203125" style="3" bestFit="1" customWidth="1"/>
    <col min="2" max="2" width="14.5" style="3" bestFit="1" customWidth="1"/>
    <col min="3" max="3" width="30.58203125" style="3" customWidth="1"/>
    <col min="4" max="4" width="7.25" style="3" bestFit="1" customWidth="1"/>
    <col min="5" max="16384" width="9" style="3"/>
  </cols>
  <sheetData>
    <row r="1" spans="1:4" x14ac:dyDescent="0.55000000000000004">
      <c r="A1" s="3" t="s">
        <v>104</v>
      </c>
    </row>
    <row r="2" spans="1:4" ht="26" x14ac:dyDescent="0.55000000000000004">
      <c r="A2" s="6" t="s">
        <v>105</v>
      </c>
      <c r="B2" s="6" t="s">
        <v>106</v>
      </c>
      <c r="C2" s="6" t="s">
        <v>107</v>
      </c>
      <c r="D2" s="6" t="s">
        <v>108</v>
      </c>
    </row>
    <row r="3" spans="1:4" x14ac:dyDescent="0.55000000000000004">
      <c r="A3" s="5">
        <v>1</v>
      </c>
      <c r="B3" s="4" t="s">
        <v>109</v>
      </c>
      <c r="C3" s="4" t="s">
        <v>110</v>
      </c>
      <c r="D3" s="4" t="b">
        <v>0</v>
      </c>
    </row>
    <row r="4" spans="1:4" x14ac:dyDescent="0.55000000000000004">
      <c r="A4" s="5">
        <v>2</v>
      </c>
      <c r="B4" s="4" t="s">
        <v>111</v>
      </c>
      <c r="C4" s="4" t="s">
        <v>112</v>
      </c>
      <c r="D4" s="4" t="b">
        <v>0</v>
      </c>
    </row>
    <row r="5" spans="1:4" x14ac:dyDescent="0.55000000000000004">
      <c r="A5" s="5">
        <v>3</v>
      </c>
      <c r="B5" s="4" t="s">
        <v>113</v>
      </c>
      <c r="C5" s="4" t="s">
        <v>114</v>
      </c>
      <c r="D5" s="4" t="b">
        <v>0</v>
      </c>
    </row>
    <row r="6" spans="1:4" x14ac:dyDescent="0.55000000000000004">
      <c r="A6" s="5">
        <v>4</v>
      </c>
      <c r="B6" s="4" t="s">
        <v>115</v>
      </c>
      <c r="C6" s="4" t="s">
        <v>116</v>
      </c>
      <c r="D6" s="4" t="b">
        <v>0</v>
      </c>
    </row>
    <row r="7" spans="1:4" x14ac:dyDescent="0.55000000000000004">
      <c r="A7" s="5">
        <v>99</v>
      </c>
      <c r="B7" s="4" t="s">
        <v>117</v>
      </c>
      <c r="C7" s="4" t="s">
        <v>118</v>
      </c>
      <c r="D7" s="4" t="b">
        <v>0</v>
      </c>
    </row>
  </sheetData>
  <autoFilter ref="A2:D7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1942-115F-4E6F-974D-2256D5CB0512}">
  <sheetPr>
    <tabColor rgb="FFFFFF00"/>
  </sheetPr>
  <dimension ref="A1:D7"/>
  <sheetViews>
    <sheetView workbookViewId="0">
      <selection activeCell="D7" sqref="A3:D7"/>
    </sheetView>
  </sheetViews>
  <sheetFormatPr defaultColWidth="9" defaultRowHeight="13" x14ac:dyDescent="0.55000000000000004"/>
  <cols>
    <col min="1" max="1" width="11.08203125" style="3" bestFit="1" customWidth="1"/>
    <col min="2" max="2" width="17.75" style="3" bestFit="1" customWidth="1"/>
    <col min="3" max="3" width="9.75" style="3" bestFit="1" customWidth="1"/>
    <col min="4" max="4" width="12.25" style="3" bestFit="1" customWidth="1"/>
    <col min="5" max="16384" width="9" style="3"/>
  </cols>
  <sheetData>
    <row r="1" spans="1:4" x14ac:dyDescent="0.55000000000000004">
      <c r="A1" s="3" t="s">
        <v>119</v>
      </c>
    </row>
    <row r="2" spans="1:4" ht="26" x14ac:dyDescent="0.55000000000000004">
      <c r="A2" s="6" t="s">
        <v>120</v>
      </c>
      <c r="B2" s="6" t="s">
        <v>121</v>
      </c>
      <c r="C2" s="6" t="s">
        <v>122</v>
      </c>
      <c r="D2" s="6" t="s">
        <v>123</v>
      </c>
    </row>
    <row r="3" spans="1:4" x14ac:dyDescent="0.55000000000000004">
      <c r="A3" s="5">
        <v>1</v>
      </c>
      <c r="B3" s="4" t="s">
        <v>124</v>
      </c>
      <c r="C3" s="5">
        <v>1</v>
      </c>
      <c r="D3" s="4" t="b">
        <v>0</v>
      </c>
    </row>
    <row r="4" spans="1:4" x14ac:dyDescent="0.55000000000000004">
      <c r="A4" s="5">
        <v>2</v>
      </c>
      <c r="B4" s="4" t="s">
        <v>125</v>
      </c>
      <c r="C4" s="5">
        <v>2</v>
      </c>
      <c r="D4" s="4" t="b">
        <v>0</v>
      </c>
    </row>
    <row r="5" spans="1:4" x14ac:dyDescent="0.55000000000000004">
      <c r="A5" s="5">
        <v>3</v>
      </c>
      <c r="B5" s="4" t="s">
        <v>126</v>
      </c>
      <c r="C5" s="5">
        <v>3</v>
      </c>
      <c r="D5" s="4" t="b">
        <v>0</v>
      </c>
    </row>
    <row r="6" spans="1:4" x14ac:dyDescent="0.55000000000000004">
      <c r="A6" s="5">
        <v>4</v>
      </c>
      <c r="B6" s="4" t="s">
        <v>127</v>
      </c>
      <c r="C6" s="5">
        <v>4</v>
      </c>
      <c r="D6" s="4" t="b">
        <v>0</v>
      </c>
    </row>
    <row r="7" spans="1:4" x14ac:dyDescent="0.55000000000000004">
      <c r="A7" s="5">
        <v>5</v>
      </c>
      <c r="B7" s="4" t="s">
        <v>128</v>
      </c>
      <c r="C7" s="5">
        <v>99</v>
      </c>
      <c r="D7" s="4" t="b">
        <v>0</v>
      </c>
    </row>
  </sheetData>
  <autoFilter ref="A2:D3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6818-EC71-4DCA-8A07-33C85930237A}">
  <sheetPr>
    <tabColor rgb="FFFFFF00"/>
  </sheetPr>
  <dimension ref="A1:I46"/>
  <sheetViews>
    <sheetView workbookViewId="0">
      <selection activeCell="I34" sqref="A3:I34"/>
    </sheetView>
  </sheetViews>
  <sheetFormatPr defaultColWidth="9" defaultRowHeight="13" x14ac:dyDescent="0.55000000000000004"/>
  <cols>
    <col min="1" max="1" width="5.58203125" style="3" customWidth="1"/>
    <col min="2" max="2" width="17.33203125" style="3" customWidth="1"/>
    <col min="3" max="3" width="19.25" style="3" bestFit="1" customWidth="1"/>
    <col min="4" max="4" width="27.33203125" style="3" bestFit="1" customWidth="1"/>
    <col min="5" max="6" width="13.25" style="3" bestFit="1" customWidth="1"/>
    <col min="7" max="7" width="13.25" style="3" customWidth="1"/>
    <col min="8" max="8" width="17.25" style="3" bestFit="1" customWidth="1"/>
    <col min="9" max="9" width="12.25" style="3" bestFit="1" customWidth="1"/>
    <col min="10" max="16384" width="9" style="3"/>
  </cols>
  <sheetData>
    <row r="1" spans="1:9" x14ac:dyDescent="0.55000000000000004">
      <c r="A1" s="3" t="s">
        <v>249</v>
      </c>
    </row>
    <row r="2" spans="1:9" ht="26" x14ac:dyDescent="0.55000000000000004">
      <c r="A2" s="6" t="s">
        <v>129</v>
      </c>
      <c r="B2" s="6" t="s">
        <v>130</v>
      </c>
      <c r="C2" s="6" t="s">
        <v>131</v>
      </c>
      <c r="D2" s="6" t="s">
        <v>132</v>
      </c>
      <c r="E2" s="6" t="s">
        <v>133</v>
      </c>
      <c r="F2" s="6" t="s">
        <v>134</v>
      </c>
      <c r="G2" s="6" t="s">
        <v>135</v>
      </c>
      <c r="H2" s="6" t="s">
        <v>136</v>
      </c>
      <c r="I2" s="6" t="s">
        <v>123</v>
      </c>
    </row>
    <row r="3" spans="1:9" x14ac:dyDescent="0.55000000000000004">
      <c r="A3" s="5">
        <v>1</v>
      </c>
      <c r="B3" s="4" t="s">
        <v>137</v>
      </c>
      <c r="C3" s="8" t="s">
        <v>138</v>
      </c>
      <c r="D3" s="5">
        <v>1</v>
      </c>
      <c r="E3" s="7">
        <v>45809</v>
      </c>
      <c r="F3" s="7">
        <v>47665</v>
      </c>
      <c r="G3" s="7">
        <v>45818</v>
      </c>
      <c r="H3" s="7">
        <v>45809</v>
      </c>
      <c r="I3" s="4" t="b">
        <v>0</v>
      </c>
    </row>
    <row r="4" spans="1:9" x14ac:dyDescent="0.55000000000000004">
      <c r="A4" s="5">
        <v>2</v>
      </c>
      <c r="B4" s="4" t="s">
        <v>139</v>
      </c>
      <c r="C4" s="8" t="s">
        <v>138</v>
      </c>
      <c r="D4" s="5">
        <v>2</v>
      </c>
      <c r="E4" s="7">
        <v>45809</v>
      </c>
      <c r="F4" s="7">
        <v>47665</v>
      </c>
      <c r="G4" s="7">
        <v>45818</v>
      </c>
      <c r="H4" s="7">
        <v>45809</v>
      </c>
      <c r="I4" s="4" t="b">
        <v>0</v>
      </c>
    </row>
    <row r="5" spans="1:9" x14ac:dyDescent="0.55000000000000004">
      <c r="A5" s="5">
        <v>3</v>
      </c>
      <c r="B5" s="4" t="s">
        <v>140</v>
      </c>
      <c r="C5" s="8" t="s">
        <v>138</v>
      </c>
      <c r="D5" s="5">
        <v>3</v>
      </c>
      <c r="E5" s="7">
        <v>45809</v>
      </c>
      <c r="F5" s="7">
        <v>47665</v>
      </c>
      <c r="G5" s="7">
        <v>45818</v>
      </c>
      <c r="H5" s="7">
        <v>45809</v>
      </c>
      <c r="I5" s="4" t="b">
        <v>0</v>
      </c>
    </row>
    <row r="6" spans="1:9" x14ac:dyDescent="0.55000000000000004">
      <c r="A6" s="5">
        <v>4</v>
      </c>
      <c r="B6" s="4" t="s">
        <v>141</v>
      </c>
      <c r="C6" s="8" t="s">
        <v>138</v>
      </c>
      <c r="D6" s="5">
        <v>4</v>
      </c>
      <c r="E6" s="7">
        <v>45809</v>
      </c>
      <c r="F6" s="7">
        <v>47665</v>
      </c>
      <c r="G6" s="7">
        <v>45818</v>
      </c>
      <c r="H6" s="7">
        <v>45809</v>
      </c>
      <c r="I6" s="4" t="b">
        <v>0</v>
      </c>
    </row>
    <row r="7" spans="1:9" x14ac:dyDescent="0.55000000000000004">
      <c r="A7" s="5">
        <v>5</v>
      </c>
      <c r="B7" s="4" t="s">
        <v>142</v>
      </c>
      <c r="C7" s="8" t="s">
        <v>138</v>
      </c>
      <c r="D7" s="5">
        <v>5</v>
      </c>
      <c r="E7" s="7">
        <v>45809</v>
      </c>
      <c r="F7" s="7">
        <v>47665</v>
      </c>
      <c r="G7" s="7">
        <v>45818</v>
      </c>
      <c r="H7" s="7">
        <v>45809</v>
      </c>
      <c r="I7" s="4" t="b">
        <v>0</v>
      </c>
    </row>
    <row r="8" spans="1:9" x14ac:dyDescent="0.55000000000000004">
      <c r="A8" s="5">
        <v>6</v>
      </c>
      <c r="B8" s="4" t="s">
        <v>143</v>
      </c>
      <c r="C8" s="4" t="s">
        <v>137</v>
      </c>
      <c r="D8" s="5">
        <v>1</v>
      </c>
      <c r="E8" s="7">
        <v>45809</v>
      </c>
      <c r="F8" s="7">
        <v>47665</v>
      </c>
      <c r="G8" s="8" t="s">
        <v>138</v>
      </c>
      <c r="H8" s="7">
        <v>45809</v>
      </c>
      <c r="I8" s="4" t="b">
        <v>0</v>
      </c>
    </row>
    <row r="9" spans="1:9" x14ac:dyDescent="0.55000000000000004">
      <c r="A9" s="5">
        <v>7</v>
      </c>
      <c r="B9" s="4" t="s">
        <v>144</v>
      </c>
      <c r="C9" s="4" t="s">
        <v>139</v>
      </c>
      <c r="D9" s="5">
        <v>2</v>
      </c>
      <c r="E9" s="7">
        <v>45809</v>
      </c>
      <c r="F9" s="7">
        <v>47665</v>
      </c>
      <c r="G9" s="8" t="s">
        <v>138</v>
      </c>
      <c r="H9" s="7">
        <v>45809</v>
      </c>
      <c r="I9" s="4" t="b">
        <v>0</v>
      </c>
    </row>
    <row r="10" spans="1:9" x14ac:dyDescent="0.55000000000000004">
      <c r="A10" s="5">
        <v>8</v>
      </c>
      <c r="B10" s="4" t="s">
        <v>145</v>
      </c>
      <c r="C10" s="4" t="s">
        <v>140</v>
      </c>
      <c r="D10" s="5">
        <v>3</v>
      </c>
      <c r="E10" s="7">
        <v>45809</v>
      </c>
      <c r="F10" s="7">
        <v>47665</v>
      </c>
      <c r="G10" s="8" t="s">
        <v>138</v>
      </c>
      <c r="H10" s="7">
        <v>45809</v>
      </c>
      <c r="I10" s="4" t="b">
        <v>0</v>
      </c>
    </row>
    <row r="11" spans="1:9" x14ac:dyDescent="0.55000000000000004">
      <c r="A11" s="5">
        <v>9</v>
      </c>
      <c r="B11" s="4" t="s">
        <v>146</v>
      </c>
      <c r="C11" s="4" t="s">
        <v>141</v>
      </c>
      <c r="D11" s="5">
        <v>4</v>
      </c>
      <c r="E11" s="7">
        <v>45809</v>
      </c>
      <c r="F11" s="7">
        <v>47665</v>
      </c>
      <c r="G11" s="8" t="s">
        <v>138</v>
      </c>
      <c r="H11" s="7">
        <v>45809</v>
      </c>
      <c r="I11" s="4" t="b">
        <v>0</v>
      </c>
    </row>
    <row r="12" spans="1:9" x14ac:dyDescent="0.55000000000000004">
      <c r="A12" s="5">
        <v>10</v>
      </c>
      <c r="B12" s="4" t="s">
        <v>147</v>
      </c>
      <c r="C12" s="4" t="s">
        <v>142</v>
      </c>
      <c r="D12" s="5">
        <v>5</v>
      </c>
      <c r="E12" s="7">
        <v>45809</v>
      </c>
      <c r="F12" s="7">
        <v>47665</v>
      </c>
      <c r="G12" s="8" t="s">
        <v>138</v>
      </c>
      <c r="H12" s="7">
        <v>45809</v>
      </c>
      <c r="I12" s="4" t="b">
        <v>0</v>
      </c>
    </row>
    <row r="13" spans="1:9" x14ac:dyDescent="0.55000000000000004">
      <c r="A13" s="5">
        <v>11</v>
      </c>
      <c r="B13" s="4" t="s">
        <v>148</v>
      </c>
      <c r="C13" s="8" t="s">
        <v>138</v>
      </c>
      <c r="D13" s="5">
        <v>1</v>
      </c>
      <c r="E13" s="7">
        <v>45809</v>
      </c>
      <c r="F13" s="7">
        <v>47665</v>
      </c>
      <c r="G13" s="8" t="s">
        <v>138</v>
      </c>
      <c r="H13" s="7">
        <v>45809</v>
      </c>
      <c r="I13" s="4" t="b">
        <v>0</v>
      </c>
    </row>
    <row r="14" spans="1:9" x14ac:dyDescent="0.55000000000000004">
      <c r="A14" s="5">
        <v>12</v>
      </c>
      <c r="B14" s="4" t="s">
        <v>149</v>
      </c>
      <c r="C14" s="8" t="s">
        <v>138</v>
      </c>
      <c r="D14" s="5">
        <v>2</v>
      </c>
      <c r="E14" s="7">
        <v>45809</v>
      </c>
      <c r="F14" s="7">
        <v>47665</v>
      </c>
      <c r="G14" s="8" t="s">
        <v>138</v>
      </c>
      <c r="H14" s="7">
        <v>45809</v>
      </c>
      <c r="I14" s="4" t="b">
        <v>0</v>
      </c>
    </row>
    <row r="15" spans="1:9" x14ac:dyDescent="0.55000000000000004">
      <c r="A15" s="5">
        <v>13</v>
      </c>
      <c r="B15" s="4" t="s">
        <v>150</v>
      </c>
      <c r="C15" s="8" t="s">
        <v>138</v>
      </c>
      <c r="D15" s="5">
        <v>3</v>
      </c>
      <c r="E15" s="7">
        <v>45809</v>
      </c>
      <c r="F15" s="7">
        <v>47665</v>
      </c>
      <c r="G15" s="8" t="s">
        <v>138</v>
      </c>
      <c r="H15" s="7">
        <v>45809</v>
      </c>
      <c r="I15" s="4" t="b">
        <v>0</v>
      </c>
    </row>
    <row r="16" spans="1:9" x14ac:dyDescent="0.55000000000000004">
      <c r="A16" s="5">
        <v>14</v>
      </c>
      <c r="B16" s="4" t="s">
        <v>151</v>
      </c>
      <c r="C16" s="8" t="s">
        <v>138</v>
      </c>
      <c r="D16" s="5">
        <v>4</v>
      </c>
      <c r="E16" s="7">
        <v>45809</v>
      </c>
      <c r="F16" s="7">
        <v>47665</v>
      </c>
      <c r="G16" s="8" t="s">
        <v>138</v>
      </c>
      <c r="H16" s="7">
        <v>45809</v>
      </c>
      <c r="I16" s="4" t="b">
        <v>0</v>
      </c>
    </row>
    <row r="17" spans="1:9" x14ac:dyDescent="0.55000000000000004">
      <c r="A17" s="5">
        <v>15</v>
      </c>
      <c r="B17" s="4" t="s">
        <v>152</v>
      </c>
      <c r="C17" s="8" t="s">
        <v>138</v>
      </c>
      <c r="D17" s="5">
        <v>5</v>
      </c>
      <c r="E17" s="7">
        <v>45809</v>
      </c>
      <c r="F17" s="7">
        <v>47665</v>
      </c>
      <c r="G17" s="8" t="s">
        <v>138</v>
      </c>
      <c r="H17" s="7">
        <v>45809</v>
      </c>
      <c r="I17" s="4" t="b">
        <v>0</v>
      </c>
    </row>
    <row r="18" spans="1:9" x14ac:dyDescent="0.55000000000000004">
      <c r="A18" s="5">
        <v>16</v>
      </c>
      <c r="B18" s="4" t="s">
        <v>153</v>
      </c>
      <c r="C18" s="8" t="s">
        <v>138</v>
      </c>
      <c r="D18" s="5">
        <v>1</v>
      </c>
      <c r="E18" s="7">
        <v>45809</v>
      </c>
      <c r="F18" s="7">
        <v>47665</v>
      </c>
      <c r="G18" s="8" t="s">
        <v>138</v>
      </c>
      <c r="H18" s="7">
        <v>45809</v>
      </c>
      <c r="I18" s="4" t="b">
        <v>0</v>
      </c>
    </row>
    <row r="19" spans="1:9" x14ac:dyDescent="0.55000000000000004">
      <c r="A19" s="5">
        <v>17</v>
      </c>
      <c r="B19" s="4" t="s">
        <v>154</v>
      </c>
      <c r="C19" s="8" t="s">
        <v>138</v>
      </c>
      <c r="D19" s="5">
        <v>2</v>
      </c>
      <c r="E19" s="7">
        <v>45809</v>
      </c>
      <c r="F19" s="7">
        <v>47665</v>
      </c>
      <c r="G19" s="8" t="s">
        <v>138</v>
      </c>
      <c r="H19" s="7">
        <v>45809</v>
      </c>
      <c r="I19" s="4" t="b">
        <v>0</v>
      </c>
    </row>
    <row r="20" spans="1:9" x14ac:dyDescent="0.55000000000000004">
      <c r="A20" s="5">
        <v>18</v>
      </c>
      <c r="B20" s="4" t="s">
        <v>155</v>
      </c>
      <c r="C20" s="8" t="s">
        <v>138</v>
      </c>
      <c r="D20" s="5">
        <v>3</v>
      </c>
      <c r="E20" s="7">
        <v>45809</v>
      </c>
      <c r="F20" s="7">
        <v>47665</v>
      </c>
      <c r="G20" s="8" t="s">
        <v>138</v>
      </c>
      <c r="H20" s="7">
        <v>45809</v>
      </c>
      <c r="I20" s="4" t="b">
        <v>0</v>
      </c>
    </row>
    <row r="21" spans="1:9" x14ac:dyDescent="0.55000000000000004">
      <c r="A21" s="5">
        <v>19</v>
      </c>
      <c r="B21" s="4" t="s">
        <v>156</v>
      </c>
      <c r="C21" s="8" t="s">
        <v>138</v>
      </c>
      <c r="D21" s="5">
        <v>4</v>
      </c>
      <c r="E21" s="7">
        <v>45809</v>
      </c>
      <c r="F21" s="7">
        <v>47665</v>
      </c>
      <c r="G21" s="8" t="s">
        <v>138</v>
      </c>
      <c r="H21" s="7">
        <v>45809</v>
      </c>
      <c r="I21" s="4" t="b">
        <v>0</v>
      </c>
    </row>
    <row r="22" spans="1:9" x14ac:dyDescent="0.55000000000000004">
      <c r="A22" s="5">
        <v>20</v>
      </c>
      <c r="B22" s="4" t="s">
        <v>157</v>
      </c>
      <c r="C22" s="8" t="s">
        <v>138</v>
      </c>
      <c r="D22" s="5">
        <v>5</v>
      </c>
      <c r="E22" s="7">
        <v>45809</v>
      </c>
      <c r="F22" s="7">
        <v>47665</v>
      </c>
      <c r="G22" s="8" t="s">
        <v>138</v>
      </c>
      <c r="H22" s="7">
        <v>45809</v>
      </c>
      <c r="I22" s="4" t="b">
        <v>0</v>
      </c>
    </row>
    <row r="23" spans="1:9" x14ac:dyDescent="0.55000000000000004">
      <c r="A23" s="5">
        <v>21</v>
      </c>
      <c r="B23" s="4" t="s">
        <v>158</v>
      </c>
      <c r="C23" s="8" t="s">
        <v>138</v>
      </c>
      <c r="D23" s="5">
        <v>1</v>
      </c>
      <c r="E23" s="7">
        <v>45809</v>
      </c>
      <c r="F23" s="7">
        <v>47665</v>
      </c>
      <c r="G23" s="8" t="s">
        <v>138</v>
      </c>
      <c r="H23" s="7">
        <v>45809</v>
      </c>
      <c r="I23" s="4" t="b">
        <v>0</v>
      </c>
    </row>
    <row r="24" spans="1:9" x14ac:dyDescent="0.55000000000000004">
      <c r="A24" s="5">
        <v>22</v>
      </c>
      <c r="B24" s="4" t="s">
        <v>159</v>
      </c>
      <c r="C24" s="8" t="s">
        <v>138</v>
      </c>
      <c r="D24" s="5">
        <v>2</v>
      </c>
      <c r="E24" s="7">
        <v>45809</v>
      </c>
      <c r="F24" s="7">
        <v>47665</v>
      </c>
      <c r="G24" s="8" t="s">
        <v>138</v>
      </c>
      <c r="H24" s="7">
        <v>45809</v>
      </c>
      <c r="I24" s="4" t="b">
        <v>0</v>
      </c>
    </row>
    <row r="25" spans="1:9" x14ac:dyDescent="0.55000000000000004">
      <c r="A25" s="5">
        <v>23</v>
      </c>
      <c r="B25" s="4" t="s">
        <v>160</v>
      </c>
      <c r="C25" s="8" t="s">
        <v>138</v>
      </c>
      <c r="D25" s="5">
        <v>1</v>
      </c>
      <c r="E25" s="7">
        <v>45809</v>
      </c>
      <c r="F25" s="7">
        <v>47665</v>
      </c>
      <c r="G25" s="8" t="s">
        <v>138</v>
      </c>
      <c r="H25" s="7">
        <v>45809</v>
      </c>
      <c r="I25" s="4" t="b">
        <v>0</v>
      </c>
    </row>
    <row r="26" spans="1:9" x14ac:dyDescent="0.55000000000000004">
      <c r="A26" s="5">
        <v>24</v>
      </c>
      <c r="B26" s="4" t="s">
        <v>161</v>
      </c>
      <c r="C26" s="8" t="s">
        <v>138</v>
      </c>
      <c r="D26" s="8" t="s">
        <v>138</v>
      </c>
      <c r="E26" s="8" t="s">
        <v>138</v>
      </c>
      <c r="F26" s="8" t="s">
        <v>138</v>
      </c>
      <c r="G26" s="8" t="s">
        <v>138</v>
      </c>
      <c r="H26" s="7">
        <v>43983</v>
      </c>
      <c r="I26" s="4" t="b">
        <v>0</v>
      </c>
    </row>
    <row r="27" spans="1:9" x14ac:dyDescent="0.55000000000000004">
      <c r="A27" s="5">
        <v>25</v>
      </c>
      <c r="B27" s="4" t="s">
        <v>162</v>
      </c>
      <c r="C27" s="8" t="s">
        <v>138</v>
      </c>
      <c r="D27" s="5">
        <v>5</v>
      </c>
      <c r="E27" s="7">
        <v>43983</v>
      </c>
      <c r="F27" s="7">
        <v>47665</v>
      </c>
      <c r="G27" s="8" t="s">
        <v>138</v>
      </c>
      <c r="H27" s="7">
        <v>43983</v>
      </c>
      <c r="I27" s="4" t="b">
        <v>0</v>
      </c>
    </row>
    <row r="28" spans="1:9" x14ac:dyDescent="0.55000000000000004">
      <c r="A28" s="5">
        <v>26</v>
      </c>
      <c r="B28" s="4" t="s">
        <v>163</v>
      </c>
      <c r="C28" s="8" t="s">
        <v>138</v>
      </c>
      <c r="D28" s="8" t="s">
        <v>138</v>
      </c>
      <c r="E28" s="8" t="s">
        <v>138</v>
      </c>
      <c r="F28" s="8" t="s">
        <v>138</v>
      </c>
      <c r="G28" s="8" t="s">
        <v>138</v>
      </c>
      <c r="H28" s="7">
        <v>45809</v>
      </c>
      <c r="I28" s="4" t="b">
        <v>0</v>
      </c>
    </row>
    <row r="29" spans="1:9" x14ac:dyDescent="0.55000000000000004">
      <c r="A29" s="5">
        <v>27</v>
      </c>
      <c r="B29" s="4" t="s">
        <v>137</v>
      </c>
      <c r="C29" s="8" t="s">
        <v>138</v>
      </c>
      <c r="D29" s="5">
        <v>5</v>
      </c>
      <c r="E29" s="7">
        <v>45819</v>
      </c>
      <c r="F29" s="7">
        <v>47665</v>
      </c>
      <c r="G29" s="8" t="s">
        <v>138</v>
      </c>
      <c r="H29" s="7">
        <v>45809</v>
      </c>
      <c r="I29" s="4" t="b">
        <v>0</v>
      </c>
    </row>
    <row r="30" spans="1:9" x14ac:dyDescent="0.55000000000000004">
      <c r="A30" s="5">
        <v>28</v>
      </c>
      <c r="B30" s="4" t="s">
        <v>139</v>
      </c>
      <c r="C30" s="8" t="s">
        <v>138</v>
      </c>
      <c r="D30" s="5">
        <v>1</v>
      </c>
      <c r="E30" s="7">
        <v>45819</v>
      </c>
      <c r="F30" s="7">
        <v>47665</v>
      </c>
      <c r="G30" s="8" t="s">
        <v>138</v>
      </c>
      <c r="H30" s="7">
        <v>45809</v>
      </c>
      <c r="I30" s="4" t="b">
        <v>0</v>
      </c>
    </row>
    <row r="31" spans="1:9" x14ac:dyDescent="0.55000000000000004">
      <c r="A31" s="5">
        <v>29</v>
      </c>
      <c r="B31" s="4" t="s">
        <v>140</v>
      </c>
      <c r="C31" s="8" t="s">
        <v>138</v>
      </c>
      <c r="D31" s="5">
        <v>2</v>
      </c>
      <c r="E31" s="7">
        <v>45819</v>
      </c>
      <c r="F31" s="7">
        <v>47665</v>
      </c>
      <c r="G31" s="8" t="s">
        <v>138</v>
      </c>
      <c r="H31" s="7">
        <v>45809</v>
      </c>
      <c r="I31" s="4" t="b">
        <v>0</v>
      </c>
    </row>
    <row r="32" spans="1:9" x14ac:dyDescent="0.55000000000000004">
      <c r="A32" s="5">
        <v>30</v>
      </c>
      <c r="B32" s="4" t="s">
        <v>141</v>
      </c>
      <c r="C32" s="8" t="s">
        <v>138</v>
      </c>
      <c r="D32" s="5">
        <v>3</v>
      </c>
      <c r="E32" s="7">
        <v>45819</v>
      </c>
      <c r="F32" s="7">
        <v>47665</v>
      </c>
      <c r="G32" s="8" t="s">
        <v>138</v>
      </c>
      <c r="H32" s="7">
        <v>45809</v>
      </c>
      <c r="I32" s="4" t="b">
        <v>0</v>
      </c>
    </row>
    <row r="33" spans="1:9" x14ac:dyDescent="0.55000000000000004">
      <c r="A33" s="5">
        <v>31</v>
      </c>
      <c r="B33" s="4" t="s">
        <v>142</v>
      </c>
      <c r="C33" s="8" t="s">
        <v>138</v>
      </c>
      <c r="D33" s="5">
        <v>4</v>
      </c>
      <c r="E33" s="7">
        <v>45819</v>
      </c>
      <c r="F33" s="7">
        <v>47665</v>
      </c>
      <c r="G33" s="8" t="s">
        <v>138</v>
      </c>
      <c r="H33" s="7">
        <v>45809</v>
      </c>
      <c r="I33" s="4" t="b">
        <v>0</v>
      </c>
    </row>
    <row r="34" spans="1:9" x14ac:dyDescent="0.55000000000000004">
      <c r="A34" s="5">
        <v>32</v>
      </c>
      <c r="B34" s="4" t="s">
        <v>164</v>
      </c>
      <c r="C34" s="8" t="s">
        <v>138</v>
      </c>
      <c r="D34" s="8" t="s">
        <v>138</v>
      </c>
      <c r="E34" s="8" t="s">
        <v>138</v>
      </c>
      <c r="F34" s="8" t="s">
        <v>138</v>
      </c>
      <c r="G34" s="8" t="s">
        <v>138</v>
      </c>
      <c r="H34" s="7">
        <v>45809</v>
      </c>
      <c r="I34" s="4" t="b">
        <v>0</v>
      </c>
    </row>
    <row r="46" spans="1:9" ht="10.9" customHeight="1" x14ac:dyDescent="0.55000000000000004"/>
  </sheetData>
  <autoFilter ref="A2:I12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ABC6-DBB5-46E3-8923-D7137C9C668E}">
  <sheetPr>
    <tabColor rgb="FFFFFF00"/>
  </sheetPr>
  <dimension ref="A1:H29"/>
  <sheetViews>
    <sheetView workbookViewId="0">
      <selection activeCell="A3" sqref="A3:H29"/>
    </sheetView>
  </sheetViews>
  <sheetFormatPr defaultColWidth="9" defaultRowHeight="13" x14ac:dyDescent="0.55000000000000004"/>
  <cols>
    <col min="1" max="1" width="19.08203125" style="3" customWidth="1"/>
    <col min="2" max="2" width="15.33203125" style="3" bestFit="1" customWidth="1"/>
    <col min="3" max="3" width="10.5" style="3" bestFit="1" customWidth="1"/>
    <col min="4" max="4" width="10.08203125" style="3" bestFit="1" customWidth="1"/>
    <col min="5" max="5" width="12.08203125" style="3" bestFit="1" customWidth="1"/>
    <col min="6" max="6" width="12.08203125" style="3" customWidth="1"/>
    <col min="7" max="7" width="10.08203125" style="3" bestFit="1" customWidth="1"/>
    <col min="8" max="8" width="12.25" style="3" bestFit="1" customWidth="1"/>
    <col min="9" max="16384" width="9" style="3"/>
  </cols>
  <sheetData>
    <row r="1" spans="1:8" x14ac:dyDescent="0.55000000000000004">
      <c r="A1" s="3" t="s">
        <v>165</v>
      </c>
    </row>
    <row r="2" spans="1:8" ht="26" x14ac:dyDescent="0.55000000000000004">
      <c r="A2" s="6" t="s">
        <v>166</v>
      </c>
      <c r="B2" s="6" t="s">
        <v>167</v>
      </c>
      <c r="C2" s="6" t="s">
        <v>168</v>
      </c>
      <c r="D2" s="6" t="s">
        <v>169</v>
      </c>
      <c r="E2" s="6" t="s">
        <v>170</v>
      </c>
      <c r="F2" s="6" t="s">
        <v>171</v>
      </c>
      <c r="G2" s="6" t="s">
        <v>107</v>
      </c>
      <c r="H2" s="6" t="s">
        <v>123</v>
      </c>
    </row>
    <row r="3" spans="1:8" x14ac:dyDescent="0.55000000000000004">
      <c r="A3" s="4" t="s">
        <v>137</v>
      </c>
      <c r="B3" s="4" t="s">
        <v>172</v>
      </c>
      <c r="C3" s="4" t="s">
        <v>173</v>
      </c>
      <c r="D3" s="4" t="s">
        <v>174</v>
      </c>
      <c r="E3" s="5">
        <v>1</v>
      </c>
      <c r="F3" s="4" t="b">
        <v>0</v>
      </c>
      <c r="G3" s="4" t="s">
        <v>175</v>
      </c>
      <c r="H3" s="4" t="b">
        <v>0</v>
      </c>
    </row>
    <row r="4" spans="1:8" x14ac:dyDescent="0.55000000000000004">
      <c r="A4" s="4" t="s">
        <v>141</v>
      </c>
      <c r="B4" s="4" t="s">
        <v>176</v>
      </c>
      <c r="C4" s="4" t="s">
        <v>173</v>
      </c>
      <c r="D4" s="4" t="s">
        <v>174</v>
      </c>
      <c r="E4" s="5">
        <v>1</v>
      </c>
      <c r="F4" s="4" t="b">
        <v>0</v>
      </c>
      <c r="G4" s="4" t="s">
        <v>175</v>
      </c>
      <c r="H4" s="4" t="b">
        <v>0</v>
      </c>
    </row>
    <row r="5" spans="1:8" x14ac:dyDescent="0.55000000000000004">
      <c r="A5" s="4" t="s">
        <v>139</v>
      </c>
      <c r="B5" s="4" t="s">
        <v>177</v>
      </c>
      <c r="C5" s="4" t="s">
        <v>173</v>
      </c>
      <c r="D5" s="4" t="s">
        <v>174</v>
      </c>
      <c r="E5" s="5">
        <v>1</v>
      </c>
      <c r="F5" s="4" t="b">
        <v>0</v>
      </c>
      <c r="G5" s="4" t="s">
        <v>175</v>
      </c>
      <c r="H5" s="4" t="b">
        <v>0</v>
      </c>
    </row>
    <row r="6" spans="1:8" x14ac:dyDescent="0.55000000000000004">
      <c r="A6" s="4" t="s">
        <v>142</v>
      </c>
      <c r="B6" s="4" t="s">
        <v>178</v>
      </c>
      <c r="C6" s="4" t="s">
        <v>179</v>
      </c>
      <c r="D6" s="4" t="s">
        <v>180</v>
      </c>
      <c r="E6" s="5">
        <v>2</v>
      </c>
      <c r="F6" s="4" t="b">
        <v>0</v>
      </c>
      <c r="G6" s="4" t="s">
        <v>175</v>
      </c>
      <c r="H6" s="4" t="b">
        <v>0</v>
      </c>
    </row>
    <row r="7" spans="1:8" x14ac:dyDescent="0.55000000000000004">
      <c r="A7" s="4" t="s">
        <v>140</v>
      </c>
      <c r="B7" s="4" t="s">
        <v>181</v>
      </c>
      <c r="C7" s="4" t="s">
        <v>179</v>
      </c>
      <c r="D7" s="4" t="s">
        <v>180</v>
      </c>
      <c r="E7" s="5">
        <v>2</v>
      </c>
      <c r="F7" s="4" t="b">
        <v>0</v>
      </c>
      <c r="G7" s="4" t="s">
        <v>175</v>
      </c>
      <c r="H7" s="4" t="b">
        <v>0</v>
      </c>
    </row>
    <row r="8" spans="1:8" x14ac:dyDescent="0.55000000000000004">
      <c r="A8" s="4" t="s">
        <v>143</v>
      </c>
      <c r="B8" s="4" t="s">
        <v>182</v>
      </c>
      <c r="C8" s="4" t="s">
        <v>183</v>
      </c>
      <c r="D8" s="4" t="s">
        <v>174</v>
      </c>
      <c r="E8" s="5">
        <v>3</v>
      </c>
      <c r="F8" s="4" t="b">
        <v>0</v>
      </c>
      <c r="G8" s="4" t="s">
        <v>175</v>
      </c>
      <c r="H8" s="4" t="b">
        <v>0</v>
      </c>
    </row>
    <row r="9" spans="1:8" x14ac:dyDescent="0.55000000000000004">
      <c r="A9" s="4" t="s">
        <v>144</v>
      </c>
      <c r="B9" s="4" t="s">
        <v>184</v>
      </c>
      <c r="C9" s="4" t="s">
        <v>185</v>
      </c>
      <c r="D9" s="4" t="s">
        <v>174</v>
      </c>
      <c r="E9" s="5">
        <v>3</v>
      </c>
      <c r="F9" s="4" t="b">
        <v>0</v>
      </c>
      <c r="G9" s="4" t="s">
        <v>175</v>
      </c>
      <c r="H9" s="4" t="b">
        <v>0</v>
      </c>
    </row>
    <row r="10" spans="1:8" x14ac:dyDescent="0.55000000000000004">
      <c r="A10" s="4" t="s">
        <v>145</v>
      </c>
      <c r="B10" s="4" t="s">
        <v>186</v>
      </c>
      <c r="C10" s="4" t="s">
        <v>185</v>
      </c>
      <c r="D10" s="4" t="s">
        <v>174</v>
      </c>
      <c r="E10" s="5">
        <v>3</v>
      </c>
      <c r="F10" s="4" t="b">
        <v>0</v>
      </c>
      <c r="G10" s="4" t="s">
        <v>175</v>
      </c>
      <c r="H10" s="4" t="b">
        <v>0</v>
      </c>
    </row>
    <row r="11" spans="1:8" x14ac:dyDescent="0.55000000000000004">
      <c r="A11" s="4" t="s">
        <v>146</v>
      </c>
      <c r="B11" s="4" t="s">
        <v>187</v>
      </c>
      <c r="C11" s="4" t="s">
        <v>185</v>
      </c>
      <c r="D11" s="4" t="s">
        <v>174</v>
      </c>
      <c r="E11" s="5">
        <v>3</v>
      </c>
      <c r="F11" s="4" t="b">
        <v>0</v>
      </c>
      <c r="G11" s="4" t="s">
        <v>175</v>
      </c>
      <c r="H11" s="4" t="b">
        <v>0</v>
      </c>
    </row>
    <row r="12" spans="1:8" x14ac:dyDescent="0.55000000000000004">
      <c r="A12" s="4" t="s">
        <v>147</v>
      </c>
      <c r="B12" s="4" t="s">
        <v>188</v>
      </c>
      <c r="C12" s="4" t="s">
        <v>185</v>
      </c>
      <c r="D12" s="4" t="s">
        <v>174</v>
      </c>
      <c r="E12" s="5">
        <v>3</v>
      </c>
      <c r="F12" s="4" t="b">
        <v>0</v>
      </c>
      <c r="G12" s="4" t="s">
        <v>175</v>
      </c>
      <c r="H12" s="4" t="b">
        <v>0</v>
      </c>
    </row>
    <row r="13" spans="1:8" x14ac:dyDescent="0.55000000000000004">
      <c r="A13" s="4" t="s">
        <v>148</v>
      </c>
      <c r="B13" s="4" t="s">
        <v>189</v>
      </c>
      <c r="C13" s="4" t="s">
        <v>190</v>
      </c>
      <c r="D13" s="4" t="s">
        <v>190</v>
      </c>
      <c r="E13" s="5">
        <v>4</v>
      </c>
      <c r="F13" s="4" t="b">
        <v>0</v>
      </c>
      <c r="G13" s="4" t="s">
        <v>175</v>
      </c>
      <c r="H13" s="4" t="b">
        <v>0</v>
      </c>
    </row>
    <row r="14" spans="1:8" x14ac:dyDescent="0.55000000000000004">
      <c r="A14" s="4" t="s">
        <v>149</v>
      </c>
      <c r="B14" s="4" t="s">
        <v>191</v>
      </c>
      <c r="C14" s="4" t="s">
        <v>190</v>
      </c>
      <c r="D14" s="4" t="s">
        <v>190</v>
      </c>
      <c r="E14" s="5">
        <v>4</v>
      </c>
      <c r="F14" s="4" t="b">
        <v>0</v>
      </c>
      <c r="G14" s="4" t="s">
        <v>175</v>
      </c>
      <c r="H14" s="4" t="b">
        <v>0</v>
      </c>
    </row>
    <row r="15" spans="1:8" x14ac:dyDescent="0.55000000000000004">
      <c r="A15" s="4" t="s">
        <v>150</v>
      </c>
      <c r="B15" s="4" t="s">
        <v>192</v>
      </c>
      <c r="C15" s="4" t="s">
        <v>190</v>
      </c>
      <c r="D15" s="4" t="s">
        <v>190</v>
      </c>
      <c r="E15" s="5">
        <v>4</v>
      </c>
      <c r="F15" s="4" t="b">
        <v>0</v>
      </c>
      <c r="G15" s="4" t="s">
        <v>175</v>
      </c>
      <c r="H15" s="4" t="b">
        <v>0</v>
      </c>
    </row>
    <row r="16" spans="1:8" x14ac:dyDescent="0.55000000000000004">
      <c r="A16" s="4" t="s">
        <v>151</v>
      </c>
      <c r="B16" s="4" t="s">
        <v>193</v>
      </c>
      <c r="C16" s="4" t="s">
        <v>190</v>
      </c>
      <c r="D16" s="4" t="s">
        <v>190</v>
      </c>
      <c r="E16" s="5">
        <v>4</v>
      </c>
      <c r="F16" s="4" t="b">
        <v>0</v>
      </c>
      <c r="G16" s="4" t="s">
        <v>175</v>
      </c>
      <c r="H16" s="4" t="b">
        <v>0</v>
      </c>
    </row>
    <row r="17" spans="1:8" x14ac:dyDescent="0.55000000000000004">
      <c r="A17" s="4" t="s">
        <v>152</v>
      </c>
      <c r="B17" s="4" t="s">
        <v>194</v>
      </c>
      <c r="C17" s="4" t="s">
        <v>190</v>
      </c>
      <c r="D17" s="4" t="s">
        <v>190</v>
      </c>
      <c r="E17" s="5">
        <v>4</v>
      </c>
      <c r="F17" s="4" t="b">
        <v>0</v>
      </c>
      <c r="G17" s="4" t="s">
        <v>175</v>
      </c>
      <c r="H17" s="4" t="b">
        <v>0</v>
      </c>
    </row>
    <row r="18" spans="1:8" x14ac:dyDescent="0.55000000000000004">
      <c r="A18" s="4" t="s">
        <v>153</v>
      </c>
      <c r="B18" s="4" t="s">
        <v>195</v>
      </c>
      <c r="C18" s="4" t="s">
        <v>190</v>
      </c>
      <c r="D18" s="4" t="s">
        <v>190</v>
      </c>
      <c r="E18" s="5">
        <v>7</v>
      </c>
      <c r="F18" s="4" t="b">
        <v>0</v>
      </c>
      <c r="G18" s="4" t="s">
        <v>175</v>
      </c>
      <c r="H18" s="4" t="b">
        <v>0</v>
      </c>
    </row>
    <row r="19" spans="1:8" x14ac:dyDescent="0.55000000000000004">
      <c r="A19" s="4" t="s">
        <v>154</v>
      </c>
      <c r="B19" s="4" t="s">
        <v>196</v>
      </c>
      <c r="C19" s="4" t="s">
        <v>190</v>
      </c>
      <c r="D19" s="4" t="s">
        <v>190</v>
      </c>
      <c r="E19" s="5">
        <v>7</v>
      </c>
      <c r="F19" s="4" t="b">
        <v>0</v>
      </c>
      <c r="G19" s="4" t="s">
        <v>175</v>
      </c>
      <c r="H19" s="4" t="b">
        <v>0</v>
      </c>
    </row>
    <row r="20" spans="1:8" x14ac:dyDescent="0.55000000000000004">
      <c r="A20" s="4" t="s">
        <v>155</v>
      </c>
      <c r="B20" s="4" t="s">
        <v>197</v>
      </c>
      <c r="C20" s="4" t="s">
        <v>190</v>
      </c>
      <c r="D20" s="4" t="s">
        <v>190</v>
      </c>
      <c r="E20" s="5">
        <v>7</v>
      </c>
      <c r="F20" s="4" t="b">
        <v>0</v>
      </c>
      <c r="G20" s="4" t="s">
        <v>175</v>
      </c>
      <c r="H20" s="4" t="b">
        <v>0</v>
      </c>
    </row>
    <row r="21" spans="1:8" x14ac:dyDescent="0.55000000000000004">
      <c r="A21" s="4" t="s">
        <v>156</v>
      </c>
      <c r="B21" s="4" t="s">
        <v>198</v>
      </c>
      <c r="C21" s="4" t="s">
        <v>190</v>
      </c>
      <c r="D21" s="4" t="s">
        <v>190</v>
      </c>
      <c r="E21" s="5">
        <v>7</v>
      </c>
      <c r="F21" s="4" t="b">
        <v>0</v>
      </c>
      <c r="G21" s="4" t="s">
        <v>175</v>
      </c>
      <c r="H21" s="4" t="b">
        <v>0</v>
      </c>
    </row>
    <row r="22" spans="1:8" x14ac:dyDescent="0.55000000000000004">
      <c r="A22" s="4" t="s">
        <v>157</v>
      </c>
      <c r="B22" s="4" t="s">
        <v>199</v>
      </c>
      <c r="C22" s="4" t="s">
        <v>190</v>
      </c>
      <c r="D22" s="4" t="s">
        <v>190</v>
      </c>
      <c r="E22" s="5">
        <v>7</v>
      </c>
      <c r="F22" s="4" t="b">
        <v>0</v>
      </c>
      <c r="G22" s="4" t="s">
        <v>175</v>
      </c>
      <c r="H22" s="4" t="b">
        <v>0</v>
      </c>
    </row>
    <row r="23" spans="1:8" x14ac:dyDescent="0.55000000000000004">
      <c r="A23" s="4" t="s">
        <v>158</v>
      </c>
      <c r="B23" s="4" t="s">
        <v>200</v>
      </c>
      <c r="C23" s="4" t="s">
        <v>190</v>
      </c>
      <c r="D23" s="4" t="s">
        <v>190</v>
      </c>
      <c r="E23" s="5">
        <v>5</v>
      </c>
      <c r="F23" s="4" t="b">
        <v>0</v>
      </c>
      <c r="G23" s="4" t="s">
        <v>175</v>
      </c>
      <c r="H23" s="4" t="b">
        <v>0</v>
      </c>
    </row>
    <row r="24" spans="1:8" x14ac:dyDescent="0.55000000000000004">
      <c r="A24" s="4" t="s">
        <v>159</v>
      </c>
      <c r="B24" s="4" t="s">
        <v>201</v>
      </c>
      <c r="C24" s="4" t="s">
        <v>190</v>
      </c>
      <c r="D24" s="4" t="s">
        <v>190</v>
      </c>
      <c r="E24" s="5">
        <v>5</v>
      </c>
      <c r="F24" s="4" t="b">
        <v>0</v>
      </c>
      <c r="G24" s="4" t="s">
        <v>175</v>
      </c>
      <c r="H24" s="4" t="b">
        <v>0</v>
      </c>
    </row>
    <row r="25" spans="1:8" x14ac:dyDescent="0.55000000000000004">
      <c r="A25" s="4" t="s">
        <v>160</v>
      </c>
      <c r="B25" s="4" t="s">
        <v>202</v>
      </c>
      <c r="C25" s="4" t="s">
        <v>190</v>
      </c>
      <c r="D25" s="4" t="s">
        <v>190</v>
      </c>
      <c r="E25" s="5">
        <v>6</v>
      </c>
      <c r="F25" s="4" t="b">
        <v>0</v>
      </c>
      <c r="G25" s="4" t="s">
        <v>175</v>
      </c>
      <c r="H25" s="4" t="b">
        <v>0</v>
      </c>
    </row>
    <row r="26" spans="1:8" x14ac:dyDescent="0.55000000000000004">
      <c r="A26" s="4" t="s">
        <v>161</v>
      </c>
      <c r="B26" s="4" t="s">
        <v>203</v>
      </c>
      <c r="C26" s="4" t="s">
        <v>204</v>
      </c>
      <c r="D26" s="4" t="s">
        <v>205</v>
      </c>
      <c r="E26" s="5">
        <v>8</v>
      </c>
      <c r="F26" s="4" t="b">
        <v>0</v>
      </c>
      <c r="G26" s="4" t="s">
        <v>175</v>
      </c>
      <c r="H26" s="4" t="b">
        <v>0</v>
      </c>
    </row>
    <row r="27" spans="1:8" x14ac:dyDescent="0.55000000000000004">
      <c r="A27" s="4" t="s">
        <v>206</v>
      </c>
      <c r="B27" s="4" t="s">
        <v>207</v>
      </c>
      <c r="C27" s="4" t="s">
        <v>208</v>
      </c>
      <c r="D27" s="4" t="s">
        <v>209</v>
      </c>
      <c r="E27" s="5">
        <v>9</v>
      </c>
      <c r="F27" s="4" t="b">
        <v>0</v>
      </c>
      <c r="G27" s="4" t="s">
        <v>175</v>
      </c>
      <c r="H27" s="4" t="b">
        <v>0</v>
      </c>
    </row>
    <row r="28" spans="1:8" x14ac:dyDescent="0.55000000000000004">
      <c r="A28" s="4" t="s">
        <v>163</v>
      </c>
      <c r="B28" s="4" t="s">
        <v>210</v>
      </c>
      <c r="C28" s="4" t="s">
        <v>173</v>
      </c>
      <c r="D28" s="4" t="s">
        <v>174</v>
      </c>
      <c r="E28" s="5">
        <v>1</v>
      </c>
      <c r="F28" s="4" t="b">
        <v>0</v>
      </c>
      <c r="G28" s="4" t="s">
        <v>211</v>
      </c>
      <c r="H28" s="4" t="b">
        <v>0</v>
      </c>
    </row>
    <row r="29" spans="1:8" x14ac:dyDescent="0.55000000000000004">
      <c r="A29" s="4" t="s">
        <v>212</v>
      </c>
      <c r="B29" s="4" t="s">
        <v>213</v>
      </c>
      <c r="C29" s="4" t="s">
        <v>190</v>
      </c>
      <c r="D29" s="4" t="s">
        <v>190</v>
      </c>
      <c r="E29" s="5">
        <v>7</v>
      </c>
      <c r="F29" s="4" t="b">
        <v>0</v>
      </c>
      <c r="G29" s="4" t="s">
        <v>175</v>
      </c>
      <c r="H29" s="4" t="b">
        <v>0</v>
      </c>
    </row>
  </sheetData>
  <autoFilter ref="A2:H27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84D7-4930-4667-9A22-87022703B15C}">
  <sheetPr>
    <tabColor rgb="FFFFFF00"/>
  </sheetPr>
  <dimension ref="A1:G47"/>
  <sheetViews>
    <sheetView workbookViewId="0">
      <selection activeCell="G47" sqref="A3:G47"/>
    </sheetView>
  </sheetViews>
  <sheetFormatPr defaultColWidth="9" defaultRowHeight="13" x14ac:dyDescent="0.55000000000000004"/>
  <cols>
    <col min="1" max="1" width="7.25" style="3" bestFit="1" customWidth="1"/>
    <col min="2" max="2" width="12.33203125" style="3" bestFit="1" customWidth="1"/>
    <col min="3" max="3" width="9.75" style="3" bestFit="1" customWidth="1"/>
    <col min="4" max="4" width="11.08203125" style="3" bestFit="1" customWidth="1"/>
    <col min="5" max="5" width="10.75" style="3" bestFit="1" customWidth="1"/>
    <col min="6" max="6" width="8.58203125" style="3" bestFit="1" customWidth="1"/>
    <col min="7" max="7" width="12.25" style="3" bestFit="1" customWidth="1"/>
    <col min="8" max="16384" width="9" style="3"/>
  </cols>
  <sheetData>
    <row r="1" spans="1:7" x14ac:dyDescent="0.55000000000000004">
      <c r="A1" s="3" t="s">
        <v>214</v>
      </c>
    </row>
    <row r="2" spans="1:7" ht="26" x14ac:dyDescent="0.55000000000000004">
      <c r="A2" s="6" t="s">
        <v>215</v>
      </c>
      <c r="B2" s="6" t="s">
        <v>170</v>
      </c>
      <c r="C2" s="6" t="s">
        <v>122</v>
      </c>
      <c r="D2" s="6" t="s">
        <v>216</v>
      </c>
      <c r="E2" s="6" t="s">
        <v>217</v>
      </c>
      <c r="F2" s="6" t="s">
        <v>218</v>
      </c>
      <c r="G2" s="6" t="s">
        <v>123</v>
      </c>
    </row>
    <row r="3" spans="1:7" x14ac:dyDescent="0.55000000000000004">
      <c r="A3" s="5">
        <v>1</v>
      </c>
      <c r="B3" s="5">
        <v>1</v>
      </c>
      <c r="C3" s="5">
        <v>1</v>
      </c>
      <c r="D3" s="4" t="b">
        <v>1</v>
      </c>
      <c r="E3" s="4" t="b">
        <v>1</v>
      </c>
      <c r="F3" s="4" t="b">
        <v>1</v>
      </c>
      <c r="G3" s="4" t="b">
        <v>0</v>
      </c>
    </row>
    <row r="4" spans="1:7" x14ac:dyDescent="0.55000000000000004">
      <c r="A4" s="5">
        <v>2</v>
      </c>
      <c r="B4" s="5">
        <v>1</v>
      </c>
      <c r="C4" s="5">
        <v>2</v>
      </c>
      <c r="D4" s="4" t="b">
        <v>1</v>
      </c>
      <c r="E4" s="4" t="b">
        <v>1</v>
      </c>
      <c r="F4" s="4" t="b">
        <v>1</v>
      </c>
      <c r="G4" s="4" t="b">
        <v>0</v>
      </c>
    </row>
    <row r="5" spans="1:7" x14ac:dyDescent="0.55000000000000004">
      <c r="A5" s="5">
        <v>3</v>
      </c>
      <c r="B5" s="5">
        <v>1</v>
      </c>
      <c r="C5" s="5">
        <v>3</v>
      </c>
      <c r="D5" s="4" t="b">
        <v>1</v>
      </c>
      <c r="E5" s="4" t="b">
        <v>1</v>
      </c>
      <c r="F5" s="4" t="b">
        <v>1</v>
      </c>
      <c r="G5" s="4" t="b">
        <v>0</v>
      </c>
    </row>
    <row r="6" spans="1:7" x14ac:dyDescent="0.55000000000000004">
      <c r="A6" s="5">
        <v>4</v>
      </c>
      <c r="B6" s="5">
        <v>1</v>
      </c>
      <c r="C6" s="5">
        <v>4</v>
      </c>
      <c r="D6" s="4" t="b">
        <v>1</v>
      </c>
      <c r="E6" s="4" t="b">
        <v>1</v>
      </c>
      <c r="F6" s="4" t="b">
        <v>0</v>
      </c>
      <c r="G6" s="4" t="b">
        <v>0</v>
      </c>
    </row>
    <row r="7" spans="1:7" x14ac:dyDescent="0.55000000000000004">
      <c r="A7" s="5">
        <v>5</v>
      </c>
      <c r="B7" s="5">
        <v>1</v>
      </c>
      <c r="C7" s="5">
        <v>99</v>
      </c>
      <c r="D7" s="4" t="b">
        <v>1</v>
      </c>
      <c r="E7" s="4" t="b">
        <v>0</v>
      </c>
      <c r="F7" s="4" t="b">
        <v>0</v>
      </c>
      <c r="G7" s="4" t="b">
        <v>0</v>
      </c>
    </row>
    <row r="8" spans="1:7" x14ac:dyDescent="0.55000000000000004">
      <c r="A8" s="5">
        <v>6</v>
      </c>
      <c r="B8" s="5">
        <v>2</v>
      </c>
      <c r="C8" s="5">
        <v>1</v>
      </c>
      <c r="D8" s="4" t="b">
        <v>1</v>
      </c>
      <c r="E8" s="4" t="b">
        <v>1</v>
      </c>
      <c r="F8" s="4" t="b">
        <v>1</v>
      </c>
      <c r="G8" s="4" t="b">
        <v>0</v>
      </c>
    </row>
    <row r="9" spans="1:7" x14ac:dyDescent="0.55000000000000004">
      <c r="A9" s="5">
        <v>7</v>
      </c>
      <c r="B9" s="5">
        <v>2</v>
      </c>
      <c r="C9" s="5">
        <v>2</v>
      </c>
      <c r="D9" s="4" t="b">
        <v>1</v>
      </c>
      <c r="E9" s="4" t="b">
        <v>1</v>
      </c>
      <c r="F9" s="4" t="b">
        <v>1</v>
      </c>
      <c r="G9" s="4" t="b">
        <v>0</v>
      </c>
    </row>
    <row r="10" spans="1:7" x14ac:dyDescent="0.55000000000000004">
      <c r="A10" s="5">
        <v>8</v>
      </c>
      <c r="B10" s="5">
        <v>2</v>
      </c>
      <c r="C10" s="5">
        <v>3</v>
      </c>
      <c r="D10" s="4" t="b">
        <v>1</v>
      </c>
      <c r="E10" s="4" t="b">
        <v>1</v>
      </c>
      <c r="F10" s="4" t="b">
        <v>1</v>
      </c>
      <c r="G10" s="4" t="b">
        <v>0</v>
      </c>
    </row>
    <row r="11" spans="1:7" x14ac:dyDescent="0.55000000000000004">
      <c r="A11" s="5">
        <v>9</v>
      </c>
      <c r="B11" s="5">
        <v>2</v>
      </c>
      <c r="C11" s="5">
        <v>4</v>
      </c>
      <c r="D11" s="4" t="b">
        <v>1</v>
      </c>
      <c r="E11" s="4" t="b">
        <v>1</v>
      </c>
      <c r="F11" s="4" t="b">
        <v>0</v>
      </c>
      <c r="G11" s="4" t="b">
        <v>0</v>
      </c>
    </row>
    <row r="12" spans="1:7" x14ac:dyDescent="0.55000000000000004">
      <c r="A12" s="5">
        <v>10</v>
      </c>
      <c r="B12" s="5">
        <v>2</v>
      </c>
      <c r="C12" s="5">
        <v>99</v>
      </c>
      <c r="D12" s="4" t="b">
        <v>1</v>
      </c>
      <c r="E12" s="4" t="b">
        <v>0</v>
      </c>
      <c r="F12" s="4" t="b">
        <v>0</v>
      </c>
      <c r="G12" s="4" t="b">
        <v>0</v>
      </c>
    </row>
    <row r="13" spans="1:7" x14ac:dyDescent="0.55000000000000004">
      <c r="A13" s="5">
        <v>11</v>
      </c>
      <c r="B13" s="5">
        <v>3</v>
      </c>
      <c r="C13" s="5">
        <v>1</v>
      </c>
      <c r="D13" s="4" t="b">
        <v>1</v>
      </c>
      <c r="E13" s="4" t="b">
        <v>1</v>
      </c>
      <c r="F13" s="4" t="b">
        <v>1</v>
      </c>
      <c r="G13" s="4" t="b">
        <v>0</v>
      </c>
    </row>
    <row r="14" spans="1:7" x14ac:dyDescent="0.55000000000000004">
      <c r="A14" s="5">
        <v>12</v>
      </c>
      <c r="B14" s="5">
        <v>3</v>
      </c>
      <c r="C14" s="5">
        <v>2</v>
      </c>
      <c r="D14" s="4" t="b">
        <v>1</v>
      </c>
      <c r="E14" s="4" t="b">
        <v>1</v>
      </c>
      <c r="F14" s="4" t="b">
        <v>1</v>
      </c>
      <c r="G14" s="4" t="b">
        <v>0</v>
      </c>
    </row>
    <row r="15" spans="1:7" x14ac:dyDescent="0.55000000000000004">
      <c r="A15" s="5">
        <v>13</v>
      </c>
      <c r="B15" s="5">
        <v>3</v>
      </c>
      <c r="C15" s="5">
        <v>3</v>
      </c>
      <c r="D15" s="4" t="b">
        <v>1</v>
      </c>
      <c r="E15" s="4" t="b">
        <v>1</v>
      </c>
      <c r="F15" s="4" t="b">
        <v>1</v>
      </c>
      <c r="G15" s="4" t="b">
        <v>0</v>
      </c>
    </row>
    <row r="16" spans="1:7" x14ac:dyDescent="0.55000000000000004">
      <c r="A16" s="5">
        <v>14</v>
      </c>
      <c r="B16" s="5">
        <v>3</v>
      </c>
      <c r="C16" s="5">
        <v>4</v>
      </c>
      <c r="D16" s="4" t="b">
        <v>1</v>
      </c>
      <c r="E16" s="4" t="b">
        <v>1</v>
      </c>
      <c r="F16" s="4" t="b">
        <v>0</v>
      </c>
      <c r="G16" s="4" t="b">
        <v>0</v>
      </c>
    </row>
    <row r="17" spans="1:7" x14ac:dyDescent="0.55000000000000004">
      <c r="A17" s="5">
        <v>15</v>
      </c>
      <c r="B17" s="5">
        <v>3</v>
      </c>
      <c r="C17" s="5">
        <v>99</v>
      </c>
      <c r="D17" s="4" t="b">
        <v>1</v>
      </c>
      <c r="E17" s="4" t="b">
        <v>0</v>
      </c>
      <c r="F17" s="4" t="b">
        <v>0</v>
      </c>
      <c r="G17" s="4" t="b">
        <v>0</v>
      </c>
    </row>
    <row r="18" spans="1:7" x14ac:dyDescent="0.55000000000000004">
      <c r="A18" s="5">
        <v>16</v>
      </c>
      <c r="B18" s="5">
        <v>4</v>
      </c>
      <c r="C18" s="5">
        <v>1</v>
      </c>
      <c r="D18" s="4" t="b">
        <v>1</v>
      </c>
      <c r="E18" s="4" t="b">
        <v>1</v>
      </c>
      <c r="F18" s="4" t="b">
        <v>1</v>
      </c>
      <c r="G18" s="4" t="b">
        <v>0</v>
      </c>
    </row>
    <row r="19" spans="1:7" x14ac:dyDescent="0.55000000000000004">
      <c r="A19" s="5">
        <v>17</v>
      </c>
      <c r="B19" s="5">
        <v>4</v>
      </c>
      <c r="C19" s="5">
        <v>2</v>
      </c>
      <c r="D19" s="4" t="b">
        <v>1</v>
      </c>
      <c r="E19" s="4" t="b">
        <v>1</v>
      </c>
      <c r="F19" s="4" t="b">
        <v>1</v>
      </c>
      <c r="G19" s="4" t="b">
        <v>0</v>
      </c>
    </row>
    <row r="20" spans="1:7" x14ac:dyDescent="0.55000000000000004">
      <c r="A20" s="5">
        <v>18</v>
      </c>
      <c r="B20" s="5">
        <v>4</v>
      </c>
      <c r="C20" s="5">
        <v>3</v>
      </c>
      <c r="D20" s="4" t="b">
        <v>1</v>
      </c>
      <c r="E20" s="4" t="b">
        <v>1</v>
      </c>
      <c r="F20" s="4" t="b">
        <v>1</v>
      </c>
      <c r="G20" s="4" t="b">
        <v>0</v>
      </c>
    </row>
    <row r="21" spans="1:7" x14ac:dyDescent="0.55000000000000004">
      <c r="A21" s="5">
        <v>19</v>
      </c>
      <c r="B21" s="5">
        <v>4</v>
      </c>
      <c r="C21" s="5">
        <v>4</v>
      </c>
      <c r="D21" s="4" t="b">
        <v>1</v>
      </c>
      <c r="E21" s="4" t="b">
        <v>1</v>
      </c>
      <c r="F21" s="4" t="b">
        <v>0</v>
      </c>
      <c r="G21" s="4" t="b">
        <v>0</v>
      </c>
    </row>
    <row r="22" spans="1:7" x14ac:dyDescent="0.55000000000000004">
      <c r="A22" s="5">
        <v>20</v>
      </c>
      <c r="B22" s="5">
        <v>4</v>
      </c>
      <c r="C22" s="5">
        <v>99</v>
      </c>
      <c r="D22" s="4" t="b">
        <v>1</v>
      </c>
      <c r="E22" s="4" t="b">
        <v>0</v>
      </c>
      <c r="F22" s="4" t="b">
        <v>0</v>
      </c>
      <c r="G22" s="4" t="b">
        <v>0</v>
      </c>
    </row>
    <row r="23" spans="1:7" x14ac:dyDescent="0.55000000000000004">
      <c r="A23" s="5">
        <v>21</v>
      </c>
      <c r="B23" s="5">
        <v>5</v>
      </c>
      <c r="C23" s="5">
        <v>1</v>
      </c>
      <c r="D23" s="4" t="b">
        <v>1</v>
      </c>
      <c r="E23" s="4" t="b">
        <v>1</v>
      </c>
      <c r="F23" s="4" t="b">
        <v>1</v>
      </c>
      <c r="G23" s="4" t="b">
        <v>0</v>
      </c>
    </row>
    <row r="24" spans="1:7" x14ac:dyDescent="0.55000000000000004">
      <c r="A24" s="5">
        <v>22</v>
      </c>
      <c r="B24" s="5">
        <v>5</v>
      </c>
      <c r="C24" s="5">
        <v>2</v>
      </c>
      <c r="D24" s="4" t="b">
        <v>1</v>
      </c>
      <c r="E24" s="4" t="b">
        <v>1</v>
      </c>
      <c r="F24" s="4" t="b">
        <v>1</v>
      </c>
      <c r="G24" s="4" t="b">
        <v>0</v>
      </c>
    </row>
    <row r="25" spans="1:7" x14ac:dyDescent="0.55000000000000004">
      <c r="A25" s="5">
        <v>23</v>
      </c>
      <c r="B25" s="5">
        <v>5</v>
      </c>
      <c r="C25" s="5">
        <v>3</v>
      </c>
      <c r="D25" s="4" t="b">
        <v>1</v>
      </c>
      <c r="E25" s="4" t="b">
        <v>1</v>
      </c>
      <c r="F25" s="4" t="b">
        <v>1</v>
      </c>
      <c r="G25" s="4" t="b">
        <v>0</v>
      </c>
    </row>
    <row r="26" spans="1:7" x14ac:dyDescent="0.55000000000000004">
      <c r="A26" s="5">
        <v>24</v>
      </c>
      <c r="B26" s="5">
        <v>5</v>
      </c>
      <c r="C26" s="5">
        <v>4</v>
      </c>
      <c r="D26" s="4" t="b">
        <v>1</v>
      </c>
      <c r="E26" s="4" t="b">
        <v>1</v>
      </c>
      <c r="F26" s="4" t="b">
        <v>0</v>
      </c>
      <c r="G26" s="4" t="b">
        <v>0</v>
      </c>
    </row>
    <row r="27" spans="1:7" x14ac:dyDescent="0.55000000000000004">
      <c r="A27" s="5">
        <v>25</v>
      </c>
      <c r="B27" s="5">
        <v>5</v>
      </c>
      <c r="C27" s="5">
        <v>99</v>
      </c>
      <c r="D27" s="4" t="b">
        <v>1</v>
      </c>
      <c r="E27" s="4" t="b">
        <v>0</v>
      </c>
      <c r="F27" s="4" t="b">
        <v>0</v>
      </c>
      <c r="G27" s="4" t="b">
        <v>0</v>
      </c>
    </row>
    <row r="28" spans="1:7" x14ac:dyDescent="0.55000000000000004">
      <c r="A28" s="5">
        <v>26</v>
      </c>
      <c r="B28" s="5">
        <v>6</v>
      </c>
      <c r="C28" s="5">
        <v>1</v>
      </c>
      <c r="D28" s="4" t="b">
        <v>1</v>
      </c>
      <c r="E28" s="4" t="b">
        <v>1</v>
      </c>
      <c r="F28" s="4" t="b">
        <v>1</v>
      </c>
      <c r="G28" s="4" t="b">
        <v>0</v>
      </c>
    </row>
    <row r="29" spans="1:7" x14ac:dyDescent="0.55000000000000004">
      <c r="A29" s="5">
        <v>27</v>
      </c>
      <c r="B29" s="5">
        <v>6</v>
      </c>
      <c r="C29" s="5">
        <v>2</v>
      </c>
      <c r="D29" s="4" t="b">
        <v>1</v>
      </c>
      <c r="E29" s="4" t="b">
        <v>1</v>
      </c>
      <c r="F29" s="4" t="b">
        <v>1</v>
      </c>
      <c r="G29" s="4" t="b">
        <v>0</v>
      </c>
    </row>
    <row r="30" spans="1:7" x14ac:dyDescent="0.55000000000000004">
      <c r="A30" s="5">
        <v>28</v>
      </c>
      <c r="B30" s="5">
        <v>6</v>
      </c>
      <c r="C30" s="5">
        <v>3</v>
      </c>
      <c r="D30" s="4" t="b">
        <v>1</v>
      </c>
      <c r="E30" s="4" t="b">
        <v>1</v>
      </c>
      <c r="F30" s="4" t="b">
        <v>1</v>
      </c>
      <c r="G30" s="4" t="b">
        <v>0</v>
      </c>
    </row>
    <row r="31" spans="1:7" x14ac:dyDescent="0.55000000000000004">
      <c r="A31" s="5">
        <v>29</v>
      </c>
      <c r="B31" s="5">
        <v>6</v>
      </c>
      <c r="C31" s="5">
        <v>4</v>
      </c>
      <c r="D31" s="4" t="b">
        <v>1</v>
      </c>
      <c r="E31" s="4" t="b">
        <v>1</v>
      </c>
      <c r="F31" s="4" t="b">
        <v>0</v>
      </c>
      <c r="G31" s="4" t="b">
        <v>0</v>
      </c>
    </row>
    <row r="32" spans="1:7" x14ac:dyDescent="0.55000000000000004">
      <c r="A32" s="5">
        <v>30</v>
      </c>
      <c r="B32" s="5">
        <v>6</v>
      </c>
      <c r="C32" s="5">
        <v>99</v>
      </c>
      <c r="D32" s="4" t="b">
        <v>1</v>
      </c>
      <c r="E32" s="4" t="b">
        <v>0</v>
      </c>
      <c r="F32" s="4" t="b">
        <v>0</v>
      </c>
      <c r="G32" s="4" t="b">
        <v>0</v>
      </c>
    </row>
    <row r="33" spans="1:7" x14ac:dyDescent="0.55000000000000004">
      <c r="A33" s="5">
        <v>31</v>
      </c>
      <c r="B33" s="5">
        <v>7</v>
      </c>
      <c r="C33" s="5">
        <v>1</v>
      </c>
      <c r="D33" s="4" t="b">
        <v>1</v>
      </c>
      <c r="E33" s="4" t="b">
        <v>1</v>
      </c>
      <c r="F33" s="4" t="b">
        <v>1</v>
      </c>
      <c r="G33" s="4" t="b">
        <v>0</v>
      </c>
    </row>
    <row r="34" spans="1:7" x14ac:dyDescent="0.55000000000000004">
      <c r="A34" s="5">
        <v>32</v>
      </c>
      <c r="B34" s="5">
        <v>7</v>
      </c>
      <c r="C34" s="5">
        <v>2</v>
      </c>
      <c r="D34" s="4" t="b">
        <v>1</v>
      </c>
      <c r="E34" s="4" t="b">
        <v>1</v>
      </c>
      <c r="F34" s="4" t="b">
        <v>1</v>
      </c>
      <c r="G34" s="4" t="b">
        <v>0</v>
      </c>
    </row>
    <row r="35" spans="1:7" x14ac:dyDescent="0.55000000000000004">
      <c r="A35" s="5">
        <v>33</v>
      </c>
      <c r="B35" s="5">
        <v>7</v>
      </c>
      <c r="C35" s="5">
        <v>3</v>
      </c>
      <c r="D35" s="4" t="b">
        <v>1</v>
      </c>
      <c r="E35" s="4" t="b">
        <v>1</v>
      </c>
      <c r="F35" s="4" t="b">
        <v>1</v>
      </c>
      <c r="G35" s="4" t="b">
        <v>0</v>
      </c>
    </row>
    <row r="36" spans="1:7" x14ac:dyDescent="0.55000000000000004">
      <c r="A36" s="5">
        <v>34</v>
      </c>
      <c r="B36" s="5">
        <v>7</v>
      </c>
      <c r="C36" s="5">
        <v>4</v>
      </c>
      <c r="D36" s="4" t="b">
        <v>1</v>
      </c>
      <c r="E36" s="4" t="b">
        <v>1</v>
      </c>
      <c r="F36" s="4" t="b">
        <v>0</v>
      </c>
      <c r="G36" s="4" t="b">
        <v>0</v>
      </c>
    </row>
    <row r="37" spans="1:7" x14ac:dyDescent="0.55000000000000004">
      <c r="A37" s="5">
        <v>35</v>
      </c>
      <c r="B37" s="5">
        <v>7</v>
      </c>
      <c r="C37" s="5">
        <v>99</v>
      </c>
      <c r="D37" s="4" t="b">
        <v>1</v>
      </c>
      <c r="E37" s="4" t="b">
        <v>0</v>
      </c>
      <c r="F37" s="4" t="b">
        <v>0</v>
      </c>
      <c r="G37" s="4" t="b">
        <v>0</v>
      </c>
    </row>
    <row r="38" spans="1:7" x14ac:dyDescent="0.55000000000000004">
      <c r="A38" s="5">
        <v>36</v>
      </c>
      <c r="B38" s="5">
        <v>8</v>
      </c>
      <c r="C38" s="5">
        <v>1</v>
      </c>
      <c r="D38" s="4" t="b">
        <v>1</v>
      </c>
      <c r="E38" s="4" t="b">
        <v>1</v>
      </c>
      <c r="F38" s="4" t="b">
        <v>1</v>
      </c>
      <c r="G38" s="4" t="b">
        <v>0</v>
      </c>
    </row>
    <row r="39" spans="1:7" x14ac:dyDescent="0.55000000000000004">
      <c r="A39" s="5">
        <v>37</v>
      </c>
      <c r="B39" s="5">
        <v>8</v>
      </c>
      <c r="C39" s="5">
        <v>2</v>
      </c>
      <c r="D39" s="4" t="b">
        <v>1</v>
      </c>
      <c r="E39" s="4" t="b">
        <v>1</v>
      </c>
      <c r="F39" s="4" t="b">
        <v>1</v>
      </c>
      <c r="G39" s="4" t="b">
        <v>0</v>
      </c>
    </row>
    <row r="40" spans="1:7" x14ac:dyDescent="0.55000000000000004">
      <c r="A40" s="5">
        <v>38</v>
      </c>
      <c r="B40" s="5">
        <v>8</v>
      </c>
      <c r="C40" s="5">
        <v>3</v>
      </c>
      <c r="D40" s="4" t="b">
        <v>1</v>
      </c>
      <c r="E40" s="4" t="b">
        <v>1</v>
      </c>
      <c r="F40" s="4" t="b">
        <v>1</v>
      </c>
      <c r="G40" s="4" t="b">
        <v>0</v>
      </c>
    </row>
    <row r="41" spans="1:7" x14ac:dyDescent="0.55000000000000004">
      <c r="A41" s="5">
        <v>39</v>
      </c>
      <c r="B41" s="5">
        <v>8</v>
      </c>
      <c r="C41" s="5">
        <v>4</v>
      </c>
      <c r="D41" s="4" t="b">
        <v>1</v>
      </c>
      <c r="E41" s="4" t="b">
        <v>1</v>
      </c>
      <c r="F41" s="4" t="b">
        <v>0</v>
      </c>
      <c r="G41" s="4" t="b">
        <v>0</v>
      </c>
    </row>
    <row r="42" spans="1:7" x14ac:dyDescent="0.55000000000000004">
      <c r="A42" s="5">
        <v>40</v>
      </c>
      <c r="B42" s="5">
        <v>8</v>
      </c>
      <c r="C42" s="5">
        <v>99</v>
      </c>
      <c r="D42" s="4" t="b">
        <v>1</v>
      </c>
      <c r="E42" s="4" t="b">
        <v>0</v>
      </c>
      <c r="F42" s="4" t="b">
        <v>0</v>
      </c>
      <c r="G42" s="4" t="b">
        <v>0</v>
      </c>
    </row>
    <row r="43" spans="1:7" x14ac:dyDescent="0.55000000000000004">
      <c r="A43" s="5">
        <v>41</v>
      </c>
      <c r="B43" s="5">
        <v>9</v>
      </c>
      <c r="C43" s="5">
        <v>1</v>
      </c>
      <c r="D43" s="4" t="b">
        <v>1</v>
      </c>
      <c r="E43" s="4" t="b">
        <v>1</v>
      </c>
      <c r="F43" s="4" t="b">
        <v>1</v>
      </c>
      <c r="G43" s="4" t="b">
        <v>0</v>
      </c>
    </row>
    <row r="44" spans="1:7" x14ac:dyDescent="0.55000000000000004">
      <c r="A44" s="5">
        <v>42</v>
      </c>
      <c r="B44" s="5">
        <v>9</v>
      </c>
      <c r="C44" s="5">
        <v>2</v>
      </c>
      <c r="D44" s="4" t="b">
        <v>1</v>
      </c>
      <c r="E44" s="4" t="b">
        <v>1</v>
      </c>
      <c r="F44" s="4" t="b">
        <v>1</v>
      </c>
      <c r="G44" s="4" t="b">
        <v>0</v>
      </c>
    </row>
    <row r="45" spans="1:7" x14ac:dyDescent="0.55000000000000004">
      <c r="A45" s="5">
        <v>43</v>
      </c>
      <c r="B45" s="5">
        <v>9</v>
      </c>
      <c r="C45" s="5">
        <v>3</v>
      </c>
      <c r="D45" s="4" t="b">
        <v>1</v>
      </c>
      <c r="E45" s="4" t="b">
        <v>1</v>
      </c>
      <c r="F45" s="4" t="b">
        <v>1</v>
      </c>
      <c r="G45" s="4" t="b">
        <v>0</v>
      </c>
    </row>
    <row r="46" spans="1:7" x14ac:dyDescent="0.55000000000000004">
      <c r="A46" s="5">
        <v>44</v>
      </c>
      <c r="B46" s="5">
        <v>9</v>
      </c>
      <c r="C46" s="5">
        <v>4</v>
      </c>
      <c r="D46" s="4" t="b">
        <v>1</v>
      </c>
      <c r="E46" s="4" t="b">
        <v>1</v>
      </c>
      <c r="F46" s="4" t="b">
        <v>0</v>
      </c>
      <c r="G46" s="4" t="b">
        <v>0</v>
      </c>
    </row>
    <row r="47" spans="1:7" x14ac:dyDescent="0.55000000000000004">
      <c r="A47" s="5">
        <v>45</v>
      </c>
      <c r="B47" s="5">
        <v>9</v>
      </c>
      <c r="C47" s="5">
        <v>99</v>
      </c>
      <c r="D47" s="4" t="b">
        <v>1</v>
      </c>
      <c r="E47" s="4" t="b">
        <v>0</v>
      </c>
      <c r="F47" s="4" t="b">
        <v>0</v>
      </c>
      <c r="G47" s="4" t="b">
        <v>0</v>
      </c>
    </row>
  </sheetData>
  <autoFilter ref="A2:G37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19EB-0351-426A-B294-A9A82A975F91}">
  <sheetPr>
    <tabColor rgb="FFFFFF00"/>
  </sheetPr>
  <dimension ref="A1:D11"/>
  <sheetViews>
    <sheetView workbookViewId="0">
      <selection activeCell="D11" sqref="A3:D11"/>
    </sheetView>
  </sheetViews>
  <sheetFormatPr defaultColWidth="9" defaultRowHeight="13" x14ac:dyDescent="0.55000000000000004"/>
  <cols>
    <col min="1" max="1" width="7.25" style="3" bestFit="1" customWidth="1"/>
    <col min="2" max="2" width="12.33203125" style="3" bestFit="1" customWidth="1"/>
    <col min="3" max="3" width="15.33203125" style="3" bestFit="1" customWidth="1"/>
    <col min="4" max="4" width="12.25" style="3" bestFit="1" customWidth="1"/>
    <col min="5" max="16384" width="9" style="3"/>
  </cols>
  <sheetData>
    <row r="1" spans="1:4" x14ac:dyDescent="0.55000000000000004">
      <c r="A1" s="3" t="s">
        <v>219</v>
      </c>
    </row>
    <row r="2" spans="1:4" ht="26" x14ac:dyDescent="0.55000000000000004">
      <c r="A2" s="6" t="s">
        <v>215</v>
      </c>
      <c r="B2" s="6" t="s">
        <v>170</v>
      </c>
      <c r="C2" s="6" t="s">
        <v>220</v>
      </c>
      <c r="D2" s="6" t="s">
        <v>123</v>
      </c>
    </row>
    <row r="3" spans="1:4" x14ac:dyDescent="0.55000000000000004">
      <c r="A3" s="5">
        <v>1</v>
      </c>
      <c r="B3" s="5">
        <v>1</v>
      </c>
      <c r="C3" s="4" t="s">
        <v>221</v>
      </c>
      <c r="D3" s="4" t="b">
        <v>0</v>
      </c>
    </row>
    <row r="4" spans="1:4" x14ac:dyDescent="0.55000000000000004">
      <c r="A4" s="5">
        <v>2</v>
      </c>
      <c r="B4" s="5">
        <v>2</v>
      </c>
      <c r="C4" s="4" t="s">
        <v>222</v>
      </c>
      <c r="D4" s="4" t="b">
        <v>0</v>
      </c>
    </row>
    <row r="5" spans="1:4" x14ac:dyDescent="0.55000000000000004">
      <c r="A5" s="5">
        <v>3</v>
      </c>
      <c r="B5" s="5">
        <v>3</v>
      </c>
      <c r="C5" s="4" t="s">
        <v>223</v>
      </c>
      <c r="D5" s="4" t="b">
        <v>0</v>
      </c>
    </row>
    <row r="6" spans="1:4" x14ac:dyDescent="0.55000000000000004">
      <c r="A6" s="5">
        <v>4</v>
      </c>
      <c r="B6" s="5">
        <v>4</v>
      </c>
      <c r="C6" s="4" t="s">
        <v>224</v>
      </c>
      <c r="D6" s="4" t="b">
        <v>0</v>
      </c>
    </row>
    <row r="7" spans="1:4" x14ac:dyDescent="0.55000000000000004">
      <c r="A7" s="5">
        <v>5</v>
      </c>
      <c r="B7" s="5">
        <v>5</v>
      </c>
      <c r="C7" s="4" t="s">
        <v>225</v>
      </c>
      <c r="D7" s="4" t="b">
        <v>0</v>
      </c>
    </row>
    <row r="8" spans="1:4" x14ac:dyDescent="0.55000000000000004">
      <c r="A8" s="5">
        <v>6</v>
      </c>
      <c r="B8" s="5">
        <v>6</v>
      </c>
      <c r="C8" s="4" t="s">
        <v>226</v>
      </c>
      <c r="D8" s="4" t="b">
        <v>0</v>
      </c>
    </row>
    <row r="9" spans="1:4" x14ac:dyDescent="0.55000000000000004">
      <c r="A9" s="5">
        <v>7</v>
      </c>
      <c r="B9" s="5">
        <v>7</v>
      </c>
      <c r="C9" s="4" t="s">
        <v>227</v>
      </c>
      <c r="D9" s="4" t="b">
        <v>0</v>
      </c>
    </row>
    <row r="10" spans="1:4" x14ac:dyDescent="0.55000000000000004">
      <c r="A10" s="5">
        <v>8</v>
      </c>
      <c r="B10" s="5">
        <v>8</v>
      </c>
      <c r="C10" s="4" t="s">
        <v>228</v>
      </c>
      <c r="D10" s="4" t="b">
        <v>0</v>
      </c>
    </row>
    <row r="11" spans="1:4" x14ac:dyDescent="0.55000000000000004">
      <c r="A11" s="5">
        <v>9</v>
      </c>
      <c r="B11" s="5">
        <v>9</v>
      </c>
      <c r="C11" s="4" t="s">
        <v>229</v>
      </c>
      <c r="D11" s="4" t="b">
        <v>0</v>
      </c>
    </row>
  </sheetData>
  <autoFilter ref="A2:D9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C6E4-D645-4B86-909F-E421757A42C4}">
  <sheetPr>
    <tabColor rgb="FF92D050"/>
  </sheetPr>
  <dimension ref="A1:E11"/>
  <sheetViews>
    <sheetView tabSelected="1" workbookViewId="0">
      <selection activeCell="G7" sqref="G7"/>
    </sheetView>
  </sheetViews>
  <sheetFormatPr defaultColWidth="9" defaultRowHeight="13" x14ac:dyDescent="0.55000000000000004"/>
  <cols>
    <col min="1" max="1" width="19.83203125" style="3" customWidth="1"/>
    <col min="2" max="4" width="7.75" style="3" bestFit="1" customWidth="1"/>
    <col min="5" max="5" width="5.75" style="3" bestFit="1" customWidth="1"/>
    <col min="6" max="16384" width="9" style="3"/>
  </cols>
  <sheetData>
    <row r="1" spans="1:5" x14ac:dyDescent="0.55000000000000004">
      <c r="A1" s="3" t="s">
        <v>254</v>
      </c>
    </row>
    <row r="2" spans="1:5" x14ac:dyDescent="0.55000000000000004">
      <c r="A2" s="9" t="s">
        <v>230</v>
      </c>
      <c r="B2" s="9" t="s">
        <v>231</v>
      </c>
      <c r="C2" s="9" t="s">
        <v>232</v>
      </c>
      <c r="D2" s="9" t="s">
        <v>233</v>
      </c>
      <c r="E2" s="9" t="s">
        <v>234</v>
      </c>
    </row>
    <row r="3" spans="1:5" x14ac:dyDescent="0.55000000000000004">
      <c r="A3" s="4" t="s">
        <v>221</v>
      </c>
      <c r="B3" s="5">
        <v>3</v>
      </c>
      <c r="C3" s="5">
        <v>1</v>
      </c>
      <c r="D3" s="5">
        <v>0</v>
      </c>
      <c r="E3" s="5">
        <v>4</v>
      </c>
    </row>
    <row r="4" spans="1:5" x14ac:dyDescent="0.55000000000000004">
      <c r="A4" s="4" t="s">
        <v>222</v>
      </c>
      <c r="B4" s="5">
        <v>2</v>
      </c>
      <c r="C4" s="5">
        <v>0</v>
      </c>
      <c r="D4" s="5">
        <v>0</v>
      </c>
      <c r="E4" s="5">
        <v>2</v>
      </c>
    </row>
    <row r="5" spans="1:5" x14ac:dyDescent="0.55000000000000004">
      <c r="A5" s="4" t="s">
        <v>223</v>
      </c>
      <c r="B5" s="5">
        <v>5</v>
      </c>
      <c r="C5" s="5">
        <v>0</v>
      </c>
      <c r="D5" s="5">
        <v>0</v>
      </c>
      <c r="E5" s="5">
        <v>5</v>
      </c>
    </row>
    <row r="6" spans="1:5" x14ac:dyDescent="0.55000000000000004">
      <c r="A6" s="4" t="s">
        <v>224</v>
      </c>
      <c r="B6" s="5">
        <v>5</v>
      </c>
      <c r="C6" s="5">
        <v>0</v>
      </c>
      <c r="D6" s="5">
        <v>0</v>
      </c>
      <c r="E6" s="5">
        <v>5</v>
      </c>
    </row>
    <row r="7" spans="1:5" x14ac:dyDescent="0.55000000000000004">
      <c r="A7" s="4" t="s">
        <v>225</v>
      </c>
      <c r="B7" s="5">
        <v>2</v>
      </c>
      <c r="C7" s="5">
        <v>0</v>
      </c>
      <c r="D7" s="5">
        <v>0</v>
      </c>
      <c r="E7" s="5">
        <v>2</v>
      </c>
    </row>
    <row r="8" spans="1:5" x14ac:dyDescent="0.55000000000000004">
      <c r="A8" s="4" t="s">
        <v>226</v>
      </c>
      <c r="B8" s="5">
        <v>1</v>
      </c>
      <c r="C8" s="5">
        <v>0</v>
      </c>
      <c r="D8" s="5">
        <v>0</v>
      </c>
      <c r="E8" s="5">
        <v>1</v>
      </c>
    </row>
    <row r="9" spans="1:5" x14ac:dyDescent="0.55000000000000004">
      <c r="A9" s="4" t="s">
        <v>227</v>
      </c>
      <c r="B9" s="5">
        <v>5</v>
      </c>
      <c r="C9" s="5">
        <v>1</v>
      </c>
      <c r="D9" s="5">
        <v>0</v>
      </c>
      <c r="E9" s="5">
        <v>6</v>
      </c>
    </row>
    <row r="10" spans="1:5" x14ac:dyDescent="0.55000000000000004">
      <c r="A10" s="4" t="s">
        <v>203</v>
      </c>
      <c r="B10" s="5">
        <v>0</v>
      </c>
      <c r="C10" s="5">
        <v>1</v>
      </c>
      <c r="D10" s="5">
        <v>1</v>
      </c>
      <c r="E10" s="5">
        <v>1</v>
      </c>
    </row>
    <row r="11" spans="1:5" x14ac:dyDescent="0.55000000000000004">
      <c r="A11" s="4" t="s">
        <v>235</v>
      </c>
      <c r="B11" s="5">
        <v>1</v>
      </c>
      <c r="C11" s="5">
        <v>0</v>
      </c>
      <c r="D11" s="5">
        <v>1</v>
      </c>
      <c r="E11" s="5">
        <v>1</v>
      </c>
    </row>
  </sheetData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4C11-29E6-4408-8604-8EF031CBE4C8}">
  <sheetPr>
    <tabColor rgb="FF92D050"/>
  </sheetPr>
  <dimension ref="A1:J29"/>
  <sheetViews>
    <sheetView workbookViewId="0">
      <selection activeCell="D12" sqref="D12"/>
    </sheetView>
  </sheetViews>
  <sheetFormatPr defaultColWidth="9" defaultRowHeight="13" x14ac:dyDescent="0.55000000000000004"/>
  <cols>
    <col min="1" max="1" width="16" style="3" bestFit="1" customWidth="1"/>
    <col min="2" max="2" width="18.83203125" style="3" bestFit="1" customWidth="1"/>
    <col min="3" max="3" width="18.58203125" style="3" bestFit="1" customWidth="1"/>
    <col min="4" max="4" width="11.75" style="3" bestFit="1" customWidth="1"/>
    <col min="5" max="6" width="13.83203125" style="3" bestFit="1" customWidth="1"/>
    <col min="7" max="7" width="18.33203125" style="3" bestFit="1" customWidth="1"/>
    <col min="8" max="8" width="7.75" style="3" bestFit="1" customWidth="1"/>
    <col min="9" max="9" width="14.75" style="3" bestFit="1" customWidth="1"/>
    <col min="10" max="10" width="11.75" style="3" bestFit="1" customWidth="1"/>
    <col min="11" max="16384" width="9" style="3"/>
  </cols>
  <sheetData>
    <row r="1" spans="1:10" x14ac:dyDescent="0.55000000000000004">
      <c r="A1" s="3" t="s">
        <v>250</v>
      </c>
    </row>
    <row r="2" spans="1:10" x14ac:dyDescent="0.55000000000000004">
      <c r="A2" s="9" t="s">
        <v>236</v>
      </c>
      <c r="B2" s="9" t="s">
        <v>237</v>
      </c>
      <c r="C2" s="9" t="s">
        <v>238</v>
      </c>
      <c r="D2" s="9" t="s">
        <v>239</v>
      </c>
      <c r="E2" s="9" t="s">
        <v>240</v>
      </c>
      <c r="F2" s="9" t="s">
        <v>241</v>
      </c>
      <c r="G2" s="9" t="s">
        <v>242</v>
      </c>
      <c r="H2" s="9" t="s">
        <v>175</v>
      </c>
      <c r="I2" s="9" t="s">
        <v>251</v>
      </c>
      <c r="J2" s="9" t="s">
        <v>252</v>
      </c>
    </row>
    <row r="3" spans="1:10" x14ac:dyDescent="0.55000000000000004">
      <c r="A3" s="4" t="s">
        <v>221</v>
      </c>
      <c r="B3" s="4" t="s">
        <v>137</v>
      </c>
      <c r="C3" s="4" t="s">
        <v>243</v>
      </c>
      <c r="D3" s="4" t="s">
        <v>244</v>
      </c>
      <c r="E3" s="7">
        <v>45819</v>
      </c>
      <c r="F3" s="7">
        <v>47665</v>
      </c>
      <c r="G3" s="7">
        <v>45809</v>
      </c>
      <c r="H3" s="4" t="s">
        <v>175</v>
      </c>
      <c r="I3" s="5">
        <v>27</v>
      </c>
      <c r="J3" s="5">
        <v>5</v>
      </c>
    </row>
    <row r="4" spans="1:10" x14ac:dyDescent="0.55000000000000004">
      <c r="A4" s="4" t="s">
        <v>221</v>
      </c>
      <c r="B4" s="4" t="s">
        <v>141</v>
      </c>
      <c r="C4" s="4" t="s">
        <v>245</v>
      </c>
      <c r="D4" s="4" t="s">
        <v>244</v>
      </c>
      <c r="E4" s="7">
        <v>45819</v>
      </c>
      <c r="F4" s="7">
        <v>47665</v>
      </c>
      <c r="G4" s="7">
        <v>45809</v>
      </c>
      <c r="H4" s="4" t="s">
        <v>175</v>
      </c>
      <c r="I4" s="5">
        <v>30</v>
      </c>
      <c r="J4" s="5">
        <v>3</v>
      </c>
    </row>
    <row r="5" spans="1:10" x14ac:dyDescent="0.55000000000000004">
      <c r="A5" s="4" t="s">
        <v>221</v>
      </c>
      <c r="B5" s="4" t="s">
        <v>139</v>
      </c>
      <c r="C5" s="4" t="s">
        <v>246</v>
      </c>
      <c r="D5" s="4" t="s">
        <v>244</v>
      </c>
      <c r="E5" s="7">
        <v>45819</v>
      </c>
      <c r="F5" s="7">
        <v>47665</v>
      </c>
      <c r="G5" s="7">
        <v>45809</v>
      </c>
      <c r="H5" s="4" t="s">
        <v>175</v>
      </c>
      <c r="I5" s="5">
        <v>28</v>
      </c>
      <c r="J5" s="5">
        <v>1</v>
      </c>
    </row>
    <row r="6" spans="1:10" x14ac:dyDescent="0.55000000000000004">
      <c r="A6" s="4" t="s">
        <v>222</v>
      </c>
      <c r="B6" s="4" t="s">
        <v>142</v>
      </c>
      <c r="C6" s="4" t="s">
        <v>247</v>
      </c>
      <c r="D6" s="4" t="s">
        <v>244</v>
      </c>
      <c r="E6" s="7">
        <v>45819</v>
      </c>
      <c r="F6" s="7">
        <v>47665</v>
      </c>
      <c r="G6" s="7">
        <v>45809</v>
      </c>
      <c r="H6" s="4" t="s">
        <v>175</v>
      </c>
      <c r="I6" s="5">
        <v>31</v>
      </c>
      <c r="J6" s="5">
        <v>4</v>
      </c>
    </row>
    <row r="7" spans="1:10" x14ac:dyDescent="0.55000000000000004">
      <c r="A7" s="4" t="s">
        <v>222</v>
      </c>
      <c r="B7" s="4" t="s">
        <v>140</v>
      </c>
      <c r="C7" s="4" t="s">
        <v>248</v>
      </c>
      <c r="D7" s="4" t="s">
        <v>244</v>
      </c>
      <c r="E7" s="7">
        <v>45819</v>
      </c>
      <c r="F7" s="7">
        <v>47665</v>
      </c>
      <c r="G7" s="7">
        <v>45809</v>
      </c>
      <c r="H7" s="4" t="s">
        <v>175</v>
      </c>
      <c r="I7" s="5">
        <v>29</v>
      </c>
      <c r="J7" s="5">
        <v>2</v>
      </c>
    </row>
    <row r="8" spans="1:10" x14ac:dyDescent="0.55000000000000004">
      <c r="A8" s="4" t="s">
        <v>223</v>
      </c>
      <c r="B8" s="4" t="s">
        <v>143</v>
      </c>
      <c r="C8" s="4" t="s">
        <v>246</v>
      </c>
      <c r="D8" s="4" t="s">
        <v>244</v>
      </c>
      <c r="E8" s="7">
        <v>45809</v>
      </c>
      <c r="F8" s="7">
        <v>47665</v>
      </c>
      <c r="G8" s="7">
        <v>45809</v>
      </c>
      <c r="H8" s="4" t="s">
        <v>175</v>
      </c>
      <c r="I8" s="5">
        <v>6</v>
      </c>
      <c r="J8" s="5">
        <v>1</v>
      </c>
    </row>
    <row r="9" spans="1:10" x14ac:dyDescent="0.55000000000000004">
      <c r="A9" s="4" t="s">
        <v>223</v>
      </c>
      <c r="B9" s="4" t="s">
        <v>144</v>
      </c>
      <c r="C9" s="4" t="s">
        <v>248</v>
      </c>
      <c r="D9" s="4" t="s">
        <v>244</v>
      </c>
      <c r="E9" s="7">
        <v>45809</v>
      </c>
      <c r="F9" s="7">
        <v>47665</v>
      </c>
      <c r="G9" s="7">
        <v>45809</v>
      </c>
      <c r="H9" s="4" t="s">
        <v>175</v>
      </c>
      <c r="I9" s="5">
        <v>7</v>
      </c>
      <c r="J9" s="5">
        <v>2</v>
      </c>
    </row>
    <row r="10" spans="1:10" x14ac:dyDescent="0.55000000000000004">
      <c r="A10" s="4" t="s">
        <v>223</v>
      </c>
      <c r="B10" s="4" t="s">
        <v>145</v>
      </c>
      <c r="C10" s="4" t="s">
        <v>245</v>
      </c>
      <c r="D10" s="4" t="s">
        <v>244</v>
      </c>
      <c r="E10" s="7">
        <v>45809</v>
      </c>
      <c r="F10" s="7">
        <v>47665</v>
      </c>
      <c r="G10" s="7">
        <v>45809</v>
      </c>
      <c r="H10" s="4" t="s">
        <v>175</v>
      </c>
      <c r="I10" s="5">
        <v>8</v>
      </c>
      <c r="J10" s="5">
        <v>3</v>
      </c>
    </row>
    <row r="11" spans="1:10" x14ac:dyDescent="0.55000000000000004">
      <c r="A11" s="4" t="s">
        <v>223</v>
      </c>
      <c r="B11" s="4" t="s">
        <v>146</v>
      </c>
      <c r="C11" s="4" t="s">
        <v>247</v>
      </c>
      <c r="D11" s="4" t="s">
        <v>244</v>
      </c>
      <c r="E11" s="7">
        <v>45809</v>
      </c>
      <c r="F11" s="7">
        <v>47665</v>
      </c>
      <c r="G11" s="7">
        <v>45809</v>
      </c>
      <c r="H11" s="4" t="s">
        <v>175</v>
      </c>
      <c r="I11" s="5">
        <v>9</v>
      </c>
      <c r="J11" s="5">
        <v>4</v>
      </c>
    </row>
    <row r="12" spans="1:10" x14ac:dyDescent="0.55000000000000004">
      <c r="A12" s="4" t="s">
        <v>223</v>
      </c>
      <c r="B12" s="4" t="s">
        <v>147</v>
      </c>
      <c r="C12" s="4" t="s">
        <v>243</v>
      </c>
      <c r="D12" s="4" t="s">
        <v>244</v>
      </c>
      <c r="E12" s="7">
        <v>45809</v>
      </c>
      <c r="F12" s="7">
        <v>47665</v>
      </c>
      <c r="G12" s="7">
        <v>45809</v>
      </c>
      <c r="H12" s="4" t="s">
        <v>175</v>
      </c>
      <c r="I12" s="5">
        <v>10</v>
      </c>
      <c r="J12" s="5">
        <v>5</v>
      </c>
    </row>
    <row r="13" spans="1:10" x14ac:dyDescent="0.55000000000000004">
      <c r="A13" s="4" t="s">
        <v>224</v>
      </c>
      <c r="B13" s="4" t="s">
        <v>148</v>
      </c>
      <c r="C13" s="4" t="s">
        <v>246</v>
      </c>
      <c r="D13" s="4" t="s">
        <v>244</v>
      </c>
      <c r="E13" s="7">
        <v>45809</v>
      </c>
      <c r="F13" s="7">
        <v>47665</v>
      </c>
      <c r="G13" s="7">
        <v>45809</v>
      </c>
      <c r="H13" s="4" t="s">
        <v>175</v>
      </c>
      <c r="I13" s="5">
        <v>11</v>
      </c>
      <c r="J13" s="5">
        <v>1</v>
      </c>
    </row>
    <row r="14" spans="1:10" x14ac:dyDescent="0.55000000000000004">
      <c r="A14" s="4" t="s">
        <v>224</v>
      </c>
      <c r="B14" s="4" t="s">
        <v>149</v>
      </c>
      <c r="C14" s="4" t="s">
        <v>248</v>
      </c>
      <c r="D14" s="4" t="s">
        <v>244</v>
      </c>
      <c r="E14" s="7">
        <v>45809</v>
      </c>
      <c r="F14" s="7">
        <v>47665</v>
      </c>
      <c r="G14" s="7">
        <v>45809</v>
      </c>
      <c r="H14" s="4" t="s">
        <v>175</v>
      </c>
      <c r="I14" s="5">
        <v>12</v>
      </c>
      <c r="J14" s="5">
        <v>2</v>
      </c>
    </row>
    <row r="15" spans="1:10" x14ac:dyDescent="0.55000000000000004">
      <c r="A15" s="4" t="s">
        <v>224</v>
      </c>
      <c r="B15" s="4" t="s">
        <v>150</v>
      </c>
      <c r="C15" s="4" t="s">
        <v>245</v>
      </c>
      <c r="D15" s="4" t="s">
        <v>244</v>
      </c>
      <c r="E15" s="7">
        <v>45809</v>
      </c>
      <c r="F15" s="7">
        <v>47665</v>
      </c>
      <c r="G15" s="7">
        <v>45809</v>
      </c>
      <c r="H15" s="4" t="s">
        <v>175</v>
      </c>
      <c r="I15" s="5">
        <v>13</v>
      </c>
      <c r="J15" s="5">
        <v>3</v>
      </c>
    </row>
    <row r="16" spans="1:10" x14ac:dyDescent="0.55000000000000004">
      <c r="A16" s="4" t="s">
        <v>224</v>
      </c>
      <c r="B16" s="4" t="s">
        <v>151</v>
      </c>
      <c r="C16" s="4" t="s">
        <v>247</v>
      </c>
      <c r="D16" s="4" t="s">
        <v>244</v>
      </c>
      <c r="E16" s="7">
        <v>45809</v>
      </c>
      <c r="F16" s="7">
        <v>47665</v>
      </c>
      <c r="G16" s="7">
        <v>45809</v>
      </c>
      <c r="H16" s="4" t="s">
        <v>175</v>
      </c>
      <c r="I16" s="5">
        <v>14</v>
      </c>
      <c r="J16" s="5">
        <v>4</v>
      </c>
    </row>
    <row r="17" spans="1:10" x14ac:dyDescent="0.55000000000000004">
      <c r="A17" s="4" t="s">
        <v>224</v>
      </c>
      <c r="B17" s="4" t="s">
        <v>152</v>
      </c>
      <c r="C17" s="4" t="s">
        <v>243</v>
      </c>
      <c r="D17" s="4" t="s">
        <v>244</v>
      </c>
      <c r="E17" s="7">
        <v>45809</v>
      </c>
      <c r="F17" s="7">
        <v>47665</v>
      </c>
      <c r="G17" s="7">
        <v>45809</v>
      </c>
      <c r="H17" s="4" t="s">
        <v>175</v>
      </c>
      <c r="I17" s="5">
        <v>15</v>
      </c>
      <c r="J17" s="5">
        <v>5</v>
      </c>
    </row>
    <row r="18" spans="1:10" x14ac:dyDescent="0.55000000000000004">
      <c r="A18" s="4" t="s">
        <v>227</v>
      </c>
      <c r="B18" s="4" t="s">
        <v>153</v>
      </c>
      <c r="C18" s="4" t="s">
        <v>246</v>
      </c>
      <c r="D18" s="4" t="s">
        <v>244</v>
      </c>
      <c r="E18" s="7">
        <v>45809</v>
      </c>
      <c r="F18" s="7">
        <v>47665</v>
      </c>
      <c r="G18" s="7">
        <v>45809</v>
      </c>
      <c r="H18" s="4" t="s">
        <v>175</v>
      </c>
      <c r="I18" s="5">
        <v>16</v>
      </c>
      <c r="J18" s="5">
        <v>1</v>
      </c>
    </row>
    <row r="19" spans="1:10" x14ac:dyDescent="0.55000000000000004">
      <c r="A19" s="4" t="s">
        <v>227</v>
      </c>
      <c r="B19" s="4" t="s">
        <v>154</v>
      </c>
      <c r="C19" s="4" t="s">
        <v>248</v>
      </c>
      <c r="D19" s="4" t="s">
        <v>244</v>
      </c>
      <c r="E19" s="7">
        <v>45809</v>
      </c>
      <c r="F19" s="7">
        <v>47665</v>
      </c>
      <c r="G19" s="7">
        <v>45809</v>
      </c>
      <c r="H19" s="4" t="s">
        <v>175</v>
      </c>
      <c r="I19" s="5">
        <v>17</v>
      </c>
      <c r="J19" s="5">
        <v>2</v>
      </c>
    </row>
    <row r="20" spans="1:10" x14ac:dyDescent="0.55000000000000004">
      <c r="A20" s="4" t="s">
        <v>227</v>
      </c>
      <c r="B20" s="4" t="s">
        <v>155</v>
      </c>
      <c r="C20" s="4" t="s">
        <v>245</v>
      </c>
      <c r="D20" s="4" t="s">
        <v>244</v>
      </c>
      <c r="E20" s="7">
        <v>45809</v>
      </c>
      <c r="F20" s="7">
        <v>47665</v>
      </c>
      <c r="G20" s="7">
        <v>45809</v>
      </c>
      <c r="H20" s="4" t="s">
        <v>175</v>
      </c>
      <c r="I20" s="5">
        <v>18</v>
      </c>
      <c r="J20" s="5">
        <v>3</v>
      </c>
    </row>
    <row r="21" spans="1:10" x14ac:dyDescent="0.55000000000000004">
      <c r="A21" s="4" t="s">
        <v>227</v>
      </c>
      <c r="B21" s="4" t="s">
        <v>156</v>
      </c>
      <c r="C21" s="4" t="s">
        <v>247</v>
      </c>
      <c r="D21" s="4" t="s">
        <v>244</v>
      </c>
      <c r="E21" s="7">
        <v>45809</v>
      </c>
      <c r="F21" s="7">
        <v>47665</v>
      </c>
      <c r="G21" s="7">
        <v>45809</v>
      </c>
      <c r="H21" s="4" t="s">
        <v>175</v>
      </c>
      <c r="I21" s="5">
        <v>19</v>
      </c>
      <c r="J21" s="5">
        <v>4</v>
      </c>
    </row>
    <row r="22" spans="1:10" x14ac:dyDescent="0.55000000000000004">
      <c r="A22" s="4" t="s">
        <v>227</v>
      </c>
      <c r="B22" s="4" t="s">
        <v>157</v>
      </c>
      <c r="C22" s="4" t="s">
        <v>243</v>
      </c>
      <c r="D22" s="4" t="s">
        <v>244</v>
      </c>
      <c r="E22" s="7">
        <v>45809</v>
      </c>
      <c r="F22" s="7">
        <v>47665</v>
      </c>
      <c r="G22" s="7">
        <v>45809</v>
      </c>
      <c r="H22" s="4" t="s">
        <v>175</v>
      </c>
      <c r="I22" s="5">
        <v>20</v>
      </c>
      <c r="J22" s="5">
        <v>5</v>
      </c>
    </row>
    <row r="23" spans="1:10" x14ac:dyDescent="0.55000000000000004">
      <c r="A23" s="4" t="s">
        <v>225</v>
      </c>
      <c r="B23" s="4" t="s">
        <v>158</v>
      </c>
      <c r="C23" s="4" t="s">
        <v>246</v>
      </c>
      <c r="D23" s="4" t="s">
        <v>244</v>
      </c>
      <c r="E23" s="7">
        <v>45809</v>
      </c>
      <c r="F23" s="7">
        <v>47665</v>
      </c>
      <c r="G23" s="7">
        <v>45809</v>
      </c>
      <c r="H23" s="4" t="s">
        <v>175</v>
      </c>
      <c r="I23" s="5">
        <v>21</v>
      </c>
      <c r="J23" s="5">
        <v>1</v>
      </c>
    </row>
    <row r="24" spans="1:10" x14ac:dyDescent="0.55000000000000004">
      <c r="A24" s="4" t="s">
        <v>225</v>
      </c>
      <c r="B24" s="4" t="s">
        <v>159</v>
      </c>
      <c r="C24" s="4" t="s">
        <v>248</v>
      </c>
      <c r="D24" s="4" t="s">
        <v>244</v>
      </c>
      <c r="E24" s="7">
        <v>45809</v>
      </c>
      <c r="F24" s="7">
        <v>47665</v>
      </c>
      <c r="G24" s="7">
        <v>45809</v>
      </c>
      <c r="H24" s="4" t="s">
        <v>175</v>
      </c>
      <c r="I24" s="5">
        <v>22</v>
      </c>
      <c r="J24" s="5">
        <v>2</v>
      </c>
    </row>
    <row r="25" spans="1:10" x14ac:dyDescent="0.55000000000000004">
      <c r="A25" s="4" t="s">
        <v>226</v>
      </c>
      <c r="B25" s="4" t="s">
        <v>160</v>
      </c>
      <c r="C25" s="4" t="s">
        <v>246</v>
      </c>
      <c r="D25" s="4" t="s">
        <v>244</v>
      </c>
      <c r="E25" s="7">
        <v>45809</v>
      </c>
      <c r="F25" s="7">
        <v>47665</v>
      </c>
      <c r="G25" s="7">
        <v>45809</v>
      </c>
      <c r="H25" s="4" t="s">
        <v>175</v>
      </c>
      <c r="I25" s="5">
        <v>23</v>
      </c>
      <c r="J25" s="5">
        <v>1</v>
      </c>
    </row>
    <row r="26" spans="1:10" x14ac:dyDescent="0.55000000000000004">
      <c r="A26" s="4" t="s">
        <v>203</v>
      </c>
      <c r="B26" s="4" t="s">
        <v>161</v>
      </c>
      <c r="C26" s="8" t="s">
        <v>138</v>
      </c>
      <c r="D26" s="4" t="s">
        <v>233</v>
      </c>
      <c r="E26" s="8" t="s">
        <v>138</v>
      </c>
      <c r="F26" s="8" t="s">
        <v>138</v>
      </c>
      <c r="G26" s="7">
        <v>43983</v>
      </c>
      <c r="H26" s="4" t="s">
        <v>175</v>
      </c>
      <c r="I26" s="5">
        <v>24</v>
      </c>
      <c r="J26" s="8" t="s">
        <v>138</v>
      </c>
    </row>
    <row r="27" spans="1:10" x14ac:dyDescent="0.55000000000000004">
      <c r="A27" s="4" t="s">
        <v>235</v>
      </c>
      <c r="B27" s="4" t="s">
        <v>206</v>
      </c>
      <c r="C27" s="4" t="s">
        <v>243</v>
      </c>
      <c r="D27" s="4" t="s">
        <v>233</v>
      </c>
      <c r="E27" s="7">
        <v>43983</v>
      </c>
      <c r="F27" s="7">
        <v>47665</v>
      </c>
      <c r="G27" s="7">
        <v>43983</v>
      </c>
      <c r="H27" s="4" t="s">
        <v>175</v>
      </c>
      <c r="I27" s="5">
        <v>25</v>
      </c>
      <c r="J27" s="5">
        <v>5</v>
      </c>
    </row>
    <row r="28" spans="1:10" x14ac:dyDescent="0.55000000000000004">
      <c r="A28" s="4" t="s">
        <v>221</v>
      </c>
      <c r="B28" s="4" t="s">
        <v>163</v>
      </c>
      <c r="C28" s="8" t="s">
        <v>138</v>
      </c>
      <c r="D28" s="4" t="s">
        <v>253</v>
      </c>
      <c r="E28" s="8" t="s">
        <v>138</v>
      </c>
      <c r="F28" s="8" t="s">
        <v>138</v>
      </c>
      <c r="G28" s="7">
        <v>45809</v>
      </c>
      <c r="H28" s="4" t="s">
        <v>211</v>
      </c>
      <c r="I28" s="5">
        <v>26</v>
      </c>
      <c r="J28" s="8" t="s">
        <v>138</v>
      </c>
    </row>
    <row r="29" spans="1:10" x14ac:dyDescent="0.55000000000000004">
      <c r="A29" s="4" t="s">
        <v>227</v>
      </c>
      <c r="B29" s="4" t="s">
        <v>212</v>
      </c>
      <c r="C29" s="8" t="s">
        <v>138</v>
      </c>
      <c r="D29" s="4" t="s">
        <v>253</v>
      </c>
      <c r="E29" s="8" t="s">
        <v>138</v>
      </c>
      <c r="F29" s="8" t="s">
        <v>138</v>
      </c>
      <c r="G29" s="7">
        <v>45809</v>
      </c>
      <c r="H29" s="4" t="s">
        <v>175</v>
      </c>
      <c r="I29" s="5">
        <v>32</v>
      </c>
      <c r="J29" s="8" t="s">
        <v>138</v>
      </c>
    </row>
  </sheetData>
  <autoFilter ref="A2:H28" xr:uid="{00000000-0001-0000-0000-000000000000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8</vt:i4>
      </vt:variant>
    </vt:vector>
  </HeadingPairs>
  <TitlesOfParts>
    <vt:vector size="18" baseType="lpstr">
      <vt:lpstr>TABLE</vt:lpstr>
      <vt:lpstr>改訂履歴</vt:lpstr>
      <vt:lpstr>test.auth_master</vt:lpstr>
      <vt:lpstr>test.staff_data</vt:lpstr>
      <vt:lpstr>test.stock_data</vt:lpstr>
      <vt:lpstr>test.stock_master</vt:lpstr>
      <vt:lpstr>test.stock_type_data</vt:lpstr>
      <vt:lpstr>test.stock_type_master</vt:lpstr>
      <vt:lpstr>test.equip_list_view</vt:lpstr>
      <vt:lpstr>test.equip_detail_view</vt:lpstr>
      <vt:lpstr>test.auth_master!Print_Titles</vt:lpstr>
      <vt:lpstr>test.equip_detail_view!Print_Titles</vt:lpstr>
      <vt:lpstr>test.equip_list_view!Print_Titles</vt:lpstr>
      <vt:lpstr>test.staff_data!Print_Titles</vt:lpstr>
      <vt:lpstr>test.stock_data!Print_Titles</vt:lpstr>
      <vt:lpstr>test.stock_master!Print_Titles</vt:lpstr>
      <vt:lpstr>test.stock_type_data!Print_Titles</vt:lpstr>
      <vt:lpstr>test.stock_type_master!Print_Titles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大成慶一</dc:creator>
  <cp:keywords/>
  <dc:description/>
  <cp:lastModifiedBy>大成 慶一</cp:lastModifiedBy>
  <cp:revision/>
  <dcterms:created xsi:type="dcterms:W3CDTF">2022-06-19T06:44:27Z</dcterms:created>
  <dcterms:modified xsi:type="dcterms:W3CDTF">2025-12-21T16:19:54Z</dcterms:modified>
  <cp:category/>
  <cp:contentStatus/>
</cp:coreProperties>
</file>