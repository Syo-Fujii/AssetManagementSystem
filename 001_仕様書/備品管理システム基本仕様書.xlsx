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braingate-my.sharepoint.com/personal/oonari_braingate_onmicrosoft_com/Documents/ドキュメント/学習課題/備品管理システム/"/>
    </mc:Choice>
  </mc:AlternateContent>
  <xr:revisionPtr revIDLastSave="35" documentId="13_ncr:1_{4E613C01-C335-40E5-BE84-1045F8324D73}" xr6:coauthVersionLast="47" xr6:coauthVersionMax="47" xr10:uidLastSave="{121913CA-9489-43FF-80C0-49AD833A7399}"/>
  <bookViews>
    <workbookView xWindow="28680" yWindow="-11025" windowWidth="29040" windowHeight="17520" tabRatio="614" firstSheet="1" activeTab="6" xr2:uid="{00000000-000D-0000-FFFF-FFFF00000000}"/>
  </bookViews>
  <sheets>
    <sheet name="表紙" sheetId="3" r:id="rId1"/>
    <sheet name="改訂履歴" sheetId="14" r:id="rId2"/>
    <sheet name="はじめに" sheetId="10" r:id="rId3"/>
    <sheet name="画面遷移図" sheetId="9" r:id="rId4"/>
    <sheet name="備品一覧画面" sheetId="11" r:id="rId5"/>
    <sheet name="備品一覧画面（項目一覧）" sheetId="15" r:id="rId6"/>
    <sheet name="備品詳細画面" sheetId="18" r:id="rId7"/>
    <sheet name="備品詳細画面（項目一覧）" sheetId="17" r:id="rId8"/>
    <sheet name="備品詳細画面（パソコン）" sheetId="12" state="hidden" r:id="rId9"/>
    <sheet name="備品詳細画面（周辺機器）" sheetId="16" state="hidden" r:id="rId10"/>
    <sheet name="備品詳細画面（その他）" sheetId="13" state="hidden" r:id="rId11"/>
    <sheet name="備品貸出画面" sheetId="20" r:id="rId12"/>
    <sheet name="備品貸出画面（項目一覧）" sheetId="21" r:id="rId13"/>
    <sheet name="備品返却画面" sheetId="22" r:id="rId14"/>
    <sheet name="備品返却画面（項目一覧）" sheetId="23" r:id="rId15"/>
  </sheets>
  <definedNames>
    <definedName name="_xlnm.Print_Area" localSheetId="0">表紙!$A$1:$AL$20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3" l="1"/>
  <c r="A1" i="22"/>
  <c r="A1" i="21" l="1"/>
  <c r="A1" i="20"/>
  <c r="A1" i="18"/>
  <c r="A1" i="17"/>
  <c r="A1" i="13"/>
  <c r="A1" i="16"/>
  <c r="A1" i="15"/>
  <c r="A1" i="14"/>
  <c r="A1" i="10"/>
  <c r="A1" i="9"/>
  <c r="A1" i="11"/>
  <c r="A1" i="12"/>
  <c r="Q12" i="3"/>
</calcChain>
</file>

<file path=xl/sharedStrings.xml><?xml version="1.0" encoding="utf-8"?>
<sst xmlns="http://schemas.openxmlformats.org/spreadsheetml/2006/main" count="673" uniqueCount="193">
  <si>
    <t>備品管理システム
基本仕様書</t>
    <rPh sb="0" eb="2">
      <t>ビヒン</t>
    </rPh>
    <rPh sb="2" eb="4">
      <t>カンリ</t>
    </rPh>
    <rPh sb="9" eb="11">
      <t>キホン</t>
    </rPh>
    <rPh sb="11" eb="13">
      <t>シヨウ</t>
    </rPh>
    <rPh sb="13" eb="14">
      <t>ショ</t>
    </rPh>
    <phoneticPr fontId="2"/>
  </si>
  <si>
    <t>作成者</t>
    <rPh sb="0" eb="3">
      <t>サクセイシャ</t>
    </rPh>
    <phoneticPr fontId="2"/>
  </si>
  <si>
    <t>大成　慶一</t>
    <rPh sb="0" eb="2">
      <t>オオナリ</t>
    </rPh>
    <rPh sb="3" eb="5">
      <t>ケイイチ</t>
    </rPh>
    <phoneticPr fontId="2"/>
  </si>
  <si>
    <t>作成日</t>
    <rPh sb="0" eb="3">
      <t>サクセイビ</t>
    </rPh>
    <phoneticPr fontId="2"/>
  </si>
  <si>
    <t>最終更新日</t>
    <rPh sb="0" eb="5">
      <t>サイシュウコウシンビ</t>
    </rPh>
    <phoneticPr fontId="2"/>
  </si>
  <si>
    <t>株式会社 ブレイン・ゲート</t>
    <rPh sb="0" eb="4">
      <t>カブシキガイシャ</t>
    </rPh>
    <phoneticPr fontId="2"/>
  </si>
  <si>
    <t>バージョン</t>
    <phoneticPr fontId="2"/>
  </si>
  <si>
    <t>作成日
（更新日）</t>
    <rPh sb="0" eb="3">
      <t>サクセイビ</t>
    </rPh>
    <rPh sb="5" eb="8">
      <t>コウシンビ</t>
    </rPh>
    <phoneticPr fontId="2"/>
  </si>
  <si>
    <t>詳細</t>
    <rPh sb="0" eb="2">
      <t>ショウサイ</t>
    </rPh>
    <phoneticPr fontId="2"/>
  </si>
  <si>
    <t>作成者（更新者）</t>
    <rPh sb="0" eb="3">
      <t>サクセイシャ</t>
    </rPh>
    <rPh sb="4" eb="7">
      <t>コウシンシャ</t>
    </rPh>
    <phoneticPr fontId="2"/>
  </si>
  <si>
    <t>初版</t>
    <rPh sb="0" eb="2">
      <t>ショハン</t>
    </rPh>
    <phoneticPr fontId="2"/>
  </si>
  <si>
    <t>新規作成</t>
    <rPh sb="0" eb="4">
      <t>シンキサクセイ</t>
    </rPh>
    <phoneticPr fontId="2"/>
  </si>
  <si>
    <t>大成慶一</t>
    <rPh sb="0" eb="4">
      <t>オオナリケイイチ</t>
    </rPh>
    <phoneticPr fontId="2"/>
  </si>
  <si>
    <t>第2版</t>
    <rPh sb="0" eb="1">
      <t>ダイ</t>
    </rPh>
    <rPh sb="2" eb="3">
      <t>ハン</t>
    </rPh>
    <phoneticPr fontId="2"/>
  </si>
  <si>
    <t>備品詳細画面に貸出ボタンを追加
備品貸出画面を追加</t>
    <rPh sb="0" eb="6">
      <t>ビヒンショウサイガメン</t>
    </rPh>
    <rPh sb="7" eb="9">
      <t>カシダシ</t>
    </rPh>
    <rPh sb="13" eb="15">
      <t>ツイカ</t>
    </rPh>
    <rPh sb="16" eb="22">
      <t>ビヒンカシダシガメン</t>
    </rPh>
    <rPh sb="23" eb="25">
      <t>ツイカ</t>
    </rPh>
    <phoneticPr fontId="2"/>
  </si>
  <si>
    <t>第3版</t>
    <rPh sb="0" eb="1">
      <t>ダイ</t>
    </rPh>
    <rPh sb="2" eb="3">
      <t>バン</t>
    </rPh>
    <phoneticPr fontId="2"/>
  </si>
  <si>
    <t>備品返却画面を追加
それに伴い、画面遷移図、備品詳細画面を更新</t>
    <rPh sb="0" eb="4">
      <t>ビヒンヘンキャク</t>
    </rPh>
    <rPh sb="4" eb="6">
      <t>ガメン</t>
    </rPh>
    <rPh sb="7" eb="9">
      <t>ツイカ</t>
    </rPh>
    <rPh sb="13" eb="14">
      <t>トモナ</t>
    </rPh>
    <rPh sb="16" eb="21">
      <t>ガメンセンイズ</t>
    </rPh>
    <rPh sb="22" eb="28">
      <t>ビヒンショウサイガメン</t>
    </rPh>
    <rPh sb="29" eb="31">
      <t>コウシン</t>
    </rPh>
    <phoneticPr fontId="2"/>
  </si>
  <si>
    <t>本書は備品管理システム基本設計書であり、</t>
    <rPh sb="0" eb="2">
      <t>ホンショ</t>
    </rPh>
    <rPh sb="3" eb="7">
      <t>ビヒンカンリ</t>
    </rPh>
    <rPh sb="11" eb="13">
      <t>キホン</t>
    </rPh>
    <rPh sb="13" eb="16">
      <t>セッケイショ</t>
    </rPh>
    <phoneticPr fontId="2"/>
  </si>
  <si>
    <t>現在手作業で行われている備品管理のシステム化について記載している。</t>
  </si>
  <si>
    <t>画面イメージ</t>
    <rPh sb="0" eb="2">
      <t>ガメン</t>
    </rPh>
    <phoneticPr fontId="2"/>
  </si>
  <si>
    <t>備品一覧画面</t>
    <rPh sb="0" eb="6">
      <t>ビヒンイチランガメン</t>
    </rPh>
    <phoneticPr fontId="2"/>
  </si>
  <si>
    <t>名称</t>
    <rPh sb="0" eb="2">
      <t>メイショウ</t>
    </rPh>
    <phoneticPr fontId="2"/>
  </si>
  <si>
    <t>貸出</t>
    <rPh sb="0" eb="2">
      <t>カシダシ</t>
    </rPh>
    <phoneticPr fontId="2"/>
  </si>
  <si>
    <t>在庫</t>
    <rPh sb="0" eb="2">
      <t>ザイコ</t>
    </rPh>
    <phoneticPr fontId="2"/>
  </si>
  <si>
    <t>不明</t>
    <rPh sb="0" eb="2">
      <t>フメイ</t>
    </rPh>
    <phoneticPr fontId="2"/>
  </si>
  <si>
    <t>合計</t>
    <rPh sb="0" eb="2">
      <t>ゴウケイ</t>
    </rPh>
    <phoneticPr fontId="2"/>
  </si>
  <si>
    <t>デスクトップPC</t>
    <phoneticPr fontId="2"/>
  </si>
  <si>
    <t>ノートPC</t>
    <phoneticPr fontId="2"/>
  </si>
  <si>
    <t>モニター</t>
    <phoneticPr fontId="2"/>
  </si>
  <si>
    <t>Webカメラ</t>
    <phoneticPr fontId="2"/>
  </si>
  <si>
    <t>モバイルWi-Fi</t>
    <phoneticPr fontId="2"/>
  </si>
  <si>
    <t>ヘッドフォン</t>
    <phoneticPr fontId="2"/>
  </si>
  <si>
    <t>7Fオフィスの鍵</t>
    <rPh sb="7" eb="8">
      <t>カギ</t>
    </rPh>
    <phoneticPr fontId="2"/>
  </si>
  <si>
    <t>1F通用口の鍵</t>
    <rPh sb="2" eb="5">
      <t>ツウヨウグチ</t>
    </rPh>
    <rPh sb="6" eb="7">
      <t>カギ</t>
    </rPh>
    <phoneticPr fontId="2"/>
  </si>
  <si>
    <t>セキュリティカード</t>
    <phoneticPr fontId="2"/>
  </si>
  <si>
    <t>キャビネットの鍵</t>
    <rPh sb="7" eb="8">
      <t>カギ</t>
    </rPh>
    <phoneticPr fontId="2"/>
  </si>
  <si>
    <t>No</t>
    <phoneticPr fontId="2"/>
  </si>
  <si>
    <t>項目名</t>
    <rPh sb="0" eb="3">
      <t>コウモクメイ</t>
    </rPh>
    <phoneticPr fontId="2"/>
  </si>
  <si>
    <t>型</t>
    <rPh sb="0" eb="1">
      <t>カタ</t>
    </rPh>
    <phoneticPr fontId="2"/>
  </si>
  <si>
    <t>表示最大桁数</t>
    <rPh sb="0" eb="2">
      <t>ヒョウジ</t>
    </rPh>
    <rPh sb="2" eb="4">
      <t>サイダイ</t>
    </rPh>
    <rPh sb="4" eb="6">
      <t>ケタスウ</t>
    </rPh>
    <phoneticPr fontId="2"/>
  </si>
  <si>
    <t>最小値</t>
    <rPh sb="0" eb="3">
      <t>サイショウチ</t>
    </rPh>
    <phoneticPr fontId="2"/>
  </si>
  <si>
    <t>最大値</t>
    <rPh sb="0" eb="3">
      <t>サイダイチ</t>
    </rPh>
    <phoneticPr fontId="2"/>
  </si>
  <si>
    <t>入力規則</t>
    <rPh sb="0" eb="4">
      <t>ニュウリョクキソク</t>
    </rPh>
    <phoneticPr fontId="2"/>
  </si>
  <si>
    <t>備考</t>
    <rPh sb="0" eb="2">
      <t>ビコウ</t>
    </rPh>
    <phoneticPr fontId="2"/>
  </si>
  <si>
    <t>String</t>
    <phoneticPr fontId="2"/>
  </si>
  <si>
    <t>-</t>
    <phoneticPr fontId="2"/>
  </si>
  <si>
    <t>備品の名称</t>
    <rPh sb="0" eb="2">
      <t>ビヒン</t>
    </rPh>
    <rPh sb="3" eb="5">
      <t>メイショウ</t>
    </rPh>
    <phoneticPr fontId="2"/>
  </si>
  <si>
    <t>・20文字以上は3点リーダーで表現する
・クリックすると、対象の備品詳細画面に遷移する</t>
    <rPh sb="3" eb="7">
      <t>モジイジョウ</t>
    </rPh>
    <rPh sb="9" eb="10">
      <t>テン</t>
    </rPh>
    <rPh sb="15" eb="17">
      <t>ヒョウゲン</t>
    </rPh>
    <phoneticPr fontId="2"/>
  </si>
  <si>
    <t>Integer</t>
    <phoneticPr fontId="2"/>
  </si>
  <si>
    <t>数字のみ</t>
    <rPh sb="0" eb="2">
      <t>スウジ</t>
    </rPh>
    <phoneticPr fontId="2"/>
  </si>
  <si>
    <t>貸出中の備品数</t>
    <rPh sb="0" eb="2">
      <t>カシダシ</t>
    </rPh>
    <rPh sb="2" eb="3">
      <t>チュウ</t>
    </rPh>
    <rPh sb="4" eb="6">
      <t>ビヒン</t>
    </rPh>
    <rPh sb="6" eb="7">
      <t>スウ</t>
    </rPh>
    <phoneticPr fontId="2"/>
  </si>
  <si>
    <t>貸出記録のあるデータの合計数を表示する</t>
    <rPh sb="0" eb="4">
      <t>カシダシキロク</t>
    </rPh>
    <rPh sb="11" eb="14">
      <t>ゴウケイスウ</t>
    </rPh>
    <rPh sb="15" eb="17">
      <t>ヒョウジ</t>
    </rPh>
    <phoneticPr fontId="2"/>
  </si>
  <si>
    <t>在庫の備品数</t>
    <rPh sb="0" eb="2">
      <t>ザイコ</t>
    </rPh>
    <rPh sb="3" eb="5">
      <t>ビヒン</t>
    </rPh>
    <rPh sb="5" eb="6">
      <t>スウ</t>
    </rPh>
    <phoneticPr fontId="2"/>
  </si>
  <si>
    <t>社内にあり貸出記録の無いデータの数を表示する</t>
    <rPh sb="0" eb="2">
      <t>シャナイ</t>
    </rPh>
    <rPh sb="5" eb="9">
      <t>カシダシキロク</t>
    </rPh>
    <rPh sb="10" eb="11">
      <t>ナ</t>
    </rPh>
    <rPh sb="16" eb="17">
      <t>カズ</t>
    </rPh>
    <rPh sb="18" eb="20">
      <t>ヒョウジ</t>
    </rPh>
    <phoneticPr fontId="2"/>
  </si>
  <si>
    <t>所在不明の備品数</t>
    <rPh sb="0" eb="4">
      <t>ショザイフメイ</t>
    </rPh>
    <rPh sb="5" eb="8">
      <t>ビヒンスウ</t>
    </rPh>
    <phoneticPr fontId="2"/>
  </si>
  <si>
    <t>社内になく貸出記録もないデータの数を表示する</t>
    <rPh sb="0" eb="2">
      <t>シャナイ</t>
    </rPh>
    <rPh sb="5" eb="9">
      <t>カシダシキロク</t>
    </rPh>
    <rPh sb="16" eb="17">
      <t>カズ</t>
    </rPh>
    <rPh sb="18" eb="20">
      <t>ヒョウジ</t>
    </rPh>
    <phoneticPr fontId="2"/>
  </si>
  <si>
    <t>貸出、在庫、詳細の合算</t>
    <rPh sb="0" eb="2">
      <t>カシダシ</t>
    </rPh>
    <rPh sb="3" eb="5">
      <t>ザイコ</t>
    </rPh>
    <rPh sb="6" eb="8">
      <t>ショウサイ</t>
    </rPh>
    <rPh sb="9" eb="11">
      <t>ガッサン</t>
    </rPh>
    <phoneticPr fontId="2"/>
  </si>
  <si>
    <t>算出したものを使用するため、DB上に項目は用意しない</t>
    <rPh sb="0" eb="2">
      <t>サンシュツ</t>
    </rPh>
    <rPh sb="7" eb="9">
      <t>シヨウ</t>
    </rPh>
    <rPh sb="16" eb="17">
      <t>ジョウ</t>
    </rPh>
    <rPh sb="18" eb="20">
      <t>コウモク</t>
    </rPh>
    <rPh sb="21" eb="23">
      <t>ヨウイ</t>
    </rPh>
    <phoneticPr fontId="2"/>
  </si>
  <si>
    <t>必須項目のみの備品の場合</t>
    <rPh sb="0" eb="4">
      <t>ヒッスコウモク</t>
    </rPh>
    <rPh sb="7" eb="9">
      <t>ビヒン</t>
    </rPh>
    <rPh sb="10" eb="12">
      <t>バアイ</t>
    </rPh>
    <phoneticPr fontId="2"/>
  </si>
  <si>
    <t>※以降の図は、備品固有の項目を表示する備品詳細画面です。（機能追加で実装してもらう予定です。）</t>
    <rPh sb="1" eb="3">
      <t>イコウ</t>
    </rPh>
    <rPh sb="4" eb="5">
      <t>ズ</t>
    </rPh>
    <rPh sb="7" eb="11">
      <t>ビヒンコユウ</t>
    </rPh>
    <rPh sb="12" eb="14">
      <t>コウモク</t>
    </rPh>
    <rPh sb="15" eb="17">
      <t>ヒョウジ</t>
    </rPh>
    <rPh sb="19" eb="25">
      <t>ビヒンショウサイガメン</t>
    </rPh>
    <rPh sb="34" eb="36">
      <t>ジッソウ</t>
    </rPh>
    <rPh sb="41" eb="43">
      <t>ヨテイ</t>
    </rPh>
    <phoneticPr fontId="2"/>
  </si>
  <si>
    <t>パソコンの場合</t>
    <rPh sb="5" eb="7">
      <t>バアイ</t>
    </rPh>
    <phoneticPr fontId="2"/>
  </si>
  <si>
    <t>パソコン周辺機器の場合</t>
    <rPh sb="4" eb="8">
      <t>シュウヘンキキ</t>
    </rPh>
    <rPh sb="9" eb="11">
      <t>バアイ</t>
    </rPh>
    <phoneticPr fontId="2"/>
  </si>
  <si>
    <t>備品選択一覧で選択した備品の名称が表示される。</t>
    <rPh sb="0" eb="6">
      <t>ビヒンセンタクイチラン</t>
    </rPh>
    <rPh sb="7" eb="9">
      <t>センタク</t>
    </rPh>
    <rPh sb="11" eb="13">
      <t>ビヒン</t>
    </rPh>
    <rPh sb="14" eb="16">
      <t>メイショウ</t>
    </rPh>
    <rPh sb="17" eb="19">
      <t>ヒョウジ</t>
    </rPh>
    <phoneticPr fontId="2"/>
  </si>
  <si>
    <t>100文字以上は3点リーダーで表現する
（100文字以上の名称が入ることは想定していない）</t>
    <rPh sb="3" eb="7">
      <t>モジイジョウ</t>
    </rPh>
    <rPh sb="9" eb="10">
      <t>テン</t>
    </rPh>
    <rPh sb="15" eb="17">
      <t>ヒョウゲン</t>
    </rPh>
    <rPh sb="24" eb="28">
      <t>モジイジョウ</t>
    </rPh>
    <rPh sb="29" eb="31">
      <t>メイショウ</t>
    </rPh>
    <rPh sb="32" eb="33">
      <t>ハイ</t>
    </rPh>
    <rPh sb="37" eb="39">
      <t>ソウテイ</t>
    </rPh>
    <phoneticPr fontId="2"/>
  </si>
  <si>
    <t>シリアルナンバー</t>
    <phoneticPr fontId="2"/>
  </si>
  <si>
    <t>備品管理のシリアルナンバーが表示される。</t>
    <rPh sb="0" eb="2">
      <t>ビヒン</t>
    </rPh>
    <rPh sb="2" eb="4">
      <t>カンリ</t>
    </rPh>
    <rPh sb="14" eb="16">
      <t>ヒョウジ</t>
    </rPh>
    <phoneticPr fontId="2"/>
  </si>
  <si>
    <t>使用者</t>
    <rPh sb="0" eb="3">
      <t>シヨウシャ</t>
    </rPh>
    <phoneticPr fontId="2"/>
  </si>
  <si>
    <t>使用している（または貸し出し先の）使用者名が表示される。</t>
    <rPh sb="0" eb="2">
      <t>シヨウ</t>
    </rPh>
    <rPh sb="10" eb="11">
      <t>カ</t>
    </rPh>
    <rPh sb="12" eb="13">
      <t>ダ</t>
    </rPh>
    <rPh sb="14" eb="15">
      <t>サキ</t>
    </rPh>
    <rPh sb="17" eb="21">
      <t>シヨウシャメイ</t>
    </rPh>
    <rPh sb="22" eb="24">
      <t>ヒョウジ</t>
    </rPh>
    <phoneticPr fontId="2"/>
  </si>
  <si>
    <t>貸出可否</t>
    <rPh sb="0" eb="4">
      <t>カシダシカヒ</t>
    </rPh>
    <phoneticPr fontId="2"/>
  </si>
  <si>
    <t>・貸し出し状況を表示する。
・可/不可/貸出中/不明のいずれかが入る。</t>
    <rPh sb="1" eb="2">
      <t>カ</t>
    </rPh>
    <rPh sb="3" eb="4">
      <t>ダ</t>
    </rPh>
    <rPh sb="5" eb="7">
      <t>ジョウキョウ</t>
    </rPh>
    <rPh sb="8" eb="10">
      <t>ヒョウジ</t>
    </rPh>
    <rPh sb="15" eb="16">
      <t>カ</t>
    </rPh>
    <rPh sb="17" eb="19">
      <t>フカ</t>
    </rPh>
    <rPh sb="20" eb="23">
      <t>カシダシチュウ</t>
    </rPh>
    <rPh sb="24" eb="26">
      <t>フメイ</t>
    </rPh>
    <rPh sb="32" eb="33">
      <t>ハイ</t>
    </rPh>
    <phoneticPr fontId="2"/>
  </si>
  <si>
    <t>・内部的には可/不可のみ管理している。
・貸出中は使用者の有無で判断している。
・最終所在確認日から1年以上経過している場合、使用者がいても不明と表示する。</t>
    <rPh sb="1" eb="4">
      <t>ナイブテキ</t>
    </rPh>
    <rPh sb="6" eb="7">
      <t>カ</t>
    </rPh>
    <rPh sb="8" eb="10">
      <t>フカ</t>
    </rPh>
    <rPh sb="12" eb="14">
      <t>カンリ</t>
    </rPh>
    <rPh sb="21" eb="24">
      <t>カシダシチュウ</t>
    </rPh>
    <rPh sb="25" eb="28">
      <t>シヨウシャ</t>
    </rPh>
    <rPh sb="29" eb="31">
      <t>ウム</t>
    </rPh>
    <rPh sb="32" eb="34">
      <t>ハンダン</t>
    </rPh>
    <rPh sb="41" eb="48">
      <t>サイシュウショザイカクニンビ</t>
    </rPh>
    <rPh sb="51" eb="54">
      <t>ネンイジョウ</t>
    </rPh>
    <rPh sb="54" eb="56">
      <t>ケイカ</t>
    </rPh>
    <rPh sb="60" eb="62">
      <t>バアイ</t>
    </rPh>
    <rPh sb="63" eb="66">
      <t>シヨウシャ</t>
    </rPh>
    <rPh sb="70" eb="72">
      <t>フメイ</t>
    </rPh>
    <rPh sb="73" eb="75">
      <t>ヒョウジ</t>
    </rPh>
    <phoneticPr fontId="2"/>
  </si>
  <si>
    <t>貸出開始日</t>
    <rPh sb="0" eb="5">
      <t>カシダシカイシビ</t>
    </rPh>
    <phoneticPr fontId="2"/>
  </si>
  <si>
    <t>Date</t>
    <phoneticPr fontId="2"/>
  </si>
  <si>
    <t>YYYY/MM/DD</t>
    <phoneticPr fontId="2"/>
  </si>
  <si>
    <t>貸し出した日を表示する。</t>
    <rPh sb="0" eb="1">
      <t>カ</t>
    </rPh>
    <rPh sb="2" eb="3">
      <t>ダ</t>
    </rPh>
    <rPh sb="5" eb="6">
      <t>ヒ</t>
    </rPh>
    <rPh sb="7" eb="9">
      <t>ヒョウジ</t>
    </rPh>
    <phoneticPr fontId="2"/>
  </si>
  <si>
    <t>返却予定日</t>
    <rPh sb="0" eb="5">
      <t>ヘンキャクヨテイビ</t>
    </rPh>
    <phoneticPr fontId="2"/>
  </si>
  <si>
    <t>返却予定日を表示する。</t>
    <rPh sb="0" eb="5">
      <t>ヘンキャクヨテイビ</t>
    </rPh>
    <rPh sb="6" eb="8">
      <t>ヒョウジ</t>
    </rPh>
    <phoneticPr fontId="2"/>
  </si>
  <si>
    <t>最終所在確認日</t>
    <rPh sb="0" eb="7">
      <t>サイシュウショザイカクニンビ</t>
    </rPh>
    <phoneticPr fontId="2"/>
  </si>
  <si>
    <t>最後に所在確認した日を表示する。</t>
    <rPh sb="0" eb="2">
      <t>サイゴ</t>
    </rPh>
    <rPh sb="3" eb="7">
      <t>ショザイカクニン</t>
    </rPh>
    <rPh sb="9" eb="10">
      <t>ヒ</t>
    </rPh>
    <rPh sb="11" eb="13">
      <t>ヒョウジ</t>
    </rPh>
    <phoneticPr fontId="2"/>
  </si>
  <si>
    <t>備考の内容（特記事項や補足など）を表示する。</t>
    <rPh sb="0" eb="2">
      <t>ビコウ</t>
    </rPh>
    <rPh sb="3" eb="5">
      <t>ナイヨウ</t>
    </rPh>
    <rPh sb="6" eb="10">
      <t>トッキジコウ</t>
    </rPh>
    <rPh sb="11" eb="13">
      <t>ホソク</t>
    </rPh>
    <rPh sb="17" eb="19">
      <t>ヒョウジ</t>
    </rPh>
    <phoneticPr fontId="2"/>
  </si>
  <si>
    <t>・最終列に表示する。
・長文の場合、表示しきれない分は3点リーダーで省略する。</t>
    <rPh sb="1" eb="4">
      <t>サイシュウレツ</t>
    </rPh>
    <rPh sb="5" eb="7">
      <t>ヒョウジ</t>
    </rPh>
    <rPh sb="12" eb="14">
      <t>チョウブン</t>
    </rPh>
    <rPh sb="15" eb="17">
      <t>バアイ</t>
    </rPh>
    <rPh sb="18" eb="20">
      <t>ヒョウジ</t>
    </rPh>
    <rPh sb="25" eb="26">
      <t>ブン</t>
    </rPh>
    <rPh sb="28" eb="29">
      <t>テン</t>
    </rPh>
    <rPh sb="34" eb="36">
      <t>ショウリャク</t>
    </rPh>
    <phoneticPr fontId="2"/>
  </si>
  <si>
    <t>ボタンを押すと、備品貸出画面に遷移する。</t>
    <rPh sb="4" eb="5">
      <t>オ</t>
    </rPh>
    <rPh sb="8" eb="14">
      <t>ビヒンカシダシガメン</t>
    </rPh>
    <rPh sb="15" eb="17">
      <t>センイ</t>
    </rPh>
    <phoneticPr fontId="2"/>
  </si>
  <si>
    <t>返却</t>
    <rPh sb="0" eb="2">
      <t>ヘンキャク</t>
    </rPh>
    <phoneticPr fontId="2"/>
  </si>
  <si>
    <t>ボタンを押すと、備品返却画面に遷移する。</t>
    <rPh sb="4" eb="5">
      <t>オ</t>
    </rPh>
    <rPh sb="8" eb="10">
      <t>ビヒン</t>
    </rPh>
    <rPh sb="10" eb="12">
      <t>ヘンキャク</t>
    </rPh>
    <rPh sb="12" eb="14">
      <t>ガメン</t>
    </rPh>
    <rPh sb="15" eb="17">
      <t>センイ</t>
    </rPh>
    <phoneticPr fontId="2"/>
  </si>
  <si>
    <t>一覧に戻る</t>
    <rPh sb="0" eb="2">
      <t>イチラン</t>
    </rPh>
    <rPh sb="3" eb="4">
      <t>モド</t>
    </rPh>
    <phoneticPr fontId="2"/>
  </si>
  <si>
    <t>ボタンを押すと、備品一覧画面に戻る。</t>
    <rPh sb="4" eb="5">
      <t>オ</t>
    </rPh>
    <rPh sb="8" eb="14">
      <t>ビヒンイチランガメン</t>
    </rPh>
    <rPh sb="15" eb="16">
      <t>モド</t>
    </rPh>
    <phoneticPr fontId="2"/>
  </si>
  <si>
    <t>備品詳細画面</t>
    <rPh sb="0" eb="6">
      <t>ビヒンショウサイガメン</t>
    </rPh>
    <phoneticPr fontId="2"/>
  </si>
  <si>
    <t>製品名</t>
    <rPh sb="0" eb="3">
      <t>セイヒンメイ</t>
    </rPh>
    <phoneticPr fontId="2"/>
  </si>
  <si>
    <t>メーカー</t>
    <phoneticPr fontId="2"/>
  </si>
  <si>
    <t>分類</t>
    <rPh sb="0" eb="2">
      <t>ブンルイ</t>
    </rPh>
    <phoneticPr fontId="2"/>
  </si>
  <si>
    <t>リース返却予定日</t>
    <rPh sb="3" eb="5">
      <t>ヘンキャク</t>
    </rPh>
    <rPh sb="5" eb="8">
      <t>ヨテイビ</t>
    </rPh>
    <phoneticPr fontId="2"/>
  </si>
  <si>
    <t>XXXXXXXXXXXXXXXXXXXX</t>
    <phoneticPr fontId="2"/>
  </si>
  <si>
    <t>大成慶一</t>
    <rPh sb="0" eb="2">
      <t>オオナリ</t>
    </rPh>
    <rPh sb="2" eb="4">
      <t>ケイイチ</t>
    </rPh>
    <phoneticPr fontId="2"/>
  </si>
  <si>
    <t>貸出中</t>
    <rPh sb="0" eb="3">
      <t>カシダシチュウ</t>
    </rPh>
    <phoneticPr fontId="2"/>
  </si>
  <si>
    <t>Inspiron 15</t>
    <phoneticPr fontId="2"/>
  </si>
  <si>
    <t>DELL</t>
    <phoneticPr fontId="2"/>
  </si>
  <si>
    <t>リース品</t>
    <rPh sb="3" eb="4">
      <t>ヒン</t>
    </rPh>
    <phoneticPr fontId="2"/>
  </si>
  <si>
    <t>なし</t>
    <phoneticPr fontId="2"/>
  </si>
  <si>
    <t>可</t>
    <rPh sb="0" eb="1">
      <t>カ</t>
    </rPh>
    <phoneticPr fontId="2"/>
  </si>
  <si>
    <t>会社所有</t>
    <rPh sb="0" eb="4">
      <t>カイシャショユウ</t>
    </rPh>
    <phoneticPr fontId="2"/>
  </si>
  <si>
    <t>メモリ増設済</t>
    <rPh sb="3" eb="6">
      <t>ゾウセツズ</t>
    </rPh>
    <phoneticPr fontId="2"/>
  </si>
  <si>
    <t>不可</t>
    <rPh sb="0" eb="2">
      <t>フカ</t>
    </rPh>
    <phoneticPr fontId="2"/>
  </si>
  <si>
    <t>電源不良（故障品）</t>
    <rPh sb="0" eb="4">
      <t>デンゲンフリョウ</t>
    </rPh>
    <rPh sb="5" eb="8">
      <t>コショウヒン</t>
    </rPh>
    <phoneticPr fontId="2"/>
  </si>
  <si>
    <t>液晶モニター</t>
    <rPh sb="0" eb="2">
      <t>エキショウ</t>
    </rPh>
    <phoneticPr fontId="2"/>
  </si>
  <si>
    <t>接続先PCシリアルナンバー</t>
    <rPh sb="0" eb="3">
      <t>セツゾクサキ</t>
    </rPh>
    <phoneticPr fontId="2"/>
  </si>
  <si>
    <t>YYYYYYYYYYYYYYYYYYYY</t>
    <phoneticPr fontId="2"/>
  </si>
  <si>
    <t>色ムラあり</t>
    <rPh sb="0" eb="1">
      <t>イロ</t>
    </rPh>
    <phoneticPr fontId="2"/>
  </si>
  <si>
    <t>2021年ごろに紛失が発覚</t>
    <rPh sb="4" eb="5">
      <t>ネン</t>
    </rPh>
    <rPh sb="8" eb="10">
      <t>フンシツ</t>
    </rPh>
    <rPh sb="11" eb="13">
      <t>ハッカク</t>
    </rPh>
    <phoneticPr fontId="2"/>
  </si>
  <si>
    <t>画面イメージ（初期表示時）</t>
    <rPh sb="0" eb="2">
      <t>ガメン</t>
    </rPh>
    <rPh sb="7" eb="12">
      <t>ショキヒョウジジ</t>
    </rPh>
    <phoneticPr fontId="2"/>
  </si>
  <si>
    <t>備品貸出画面</t>
    <rPh sb="0" eb="4">
      <t>ビヒンカシダシ</t>
    </rPh>
    <rPh sb="4" eb="6">
      <t>ガメン</t>
    </rPh>
    <phoneticPr fontId="2"/>
  </si>
  <si>
    <t>XXXXXXXXXXXXXXXXXXX1</t>
    <phoneticPr fontId="2"/>
  </si>
  <si>
    <t>選択してください</t>
    <rPh sb="0" eb="2">
      <t>センタク</t>
    </rPh>
    <phoneticPr fontId="2"/>
  </si>
  <si>
    <t>□</t>
    <phoneticPr fontId="2"/>
  </si>
  <si>
    <t>XXXXXXXXXXXXXXXXXXX2</t>
  </si>
  <si>
    <t>XXXXXXXXXXXXXXXXXXX3</t>
  </si>
  <si>
    <t>XXXXXXXXXXXXXXXXXXX4</t>
  </si>
  <si>
    <t>XXXXXXXXXXXXXXXXXXX5</t>
  </si>
  <si>
    <t>XXXXXXXXXXXXXXXXXXX6</t>
  </si>
  <si>
    <t>鍵穴に刺さりにくい</t>
    <rPh sb="0" eb="2">
      <t>カギアナ</t>
    </rPh>
    <rPh sb="3" eb="4">
      <t>サ</t>
    </rPh>
    <phoneticPr fontId="2"/>
  </si>
  <si>
    <t>画面イメージ（使用者選択中）</t>
    <rPh sb="0" eb="2">
      <t>ガメン</t>
    </rPh>
    <rPh sb="7" eb="10">
      <t>シヨウシャ</t>
    </rPh>
    <rPh sb="10" eb="12">
      <t>センタク</t>
    </rPh>
    <rPh sb="12" eb="13">
      <t>チュウ</t>
    </rPh>
    <phoneticPr fontId="2"/>
  </si>
  <si>
    <t>テスト一郎</t>
    <rPh sb="3" eb="5">
      <t>イチロウ</t>
    </rPh>
    <phoneticPr fontId="2"/>
  </si>
  <si>
    <t>テスト次郎</t>
    <rPh sb="3" eb="5">
      <t>ジロウ</t>
    </rPh>
    <phoneticPr fontId="2"/>
  </si>
  <si>
    <t>テスト三郎</t>
    <rPh sb="3" eb="5">
      <t>サブロウ</t>
    </rPh>
    <phoneticPr fontId="2"/>
  </si>
  <si>
    <t>テスト史郎</t>
    <rPh sb="3" eb="5">
      <t>シロウ</t>
    </rPh>
    <phoneticPr fontId="2"/>
  </si>
  <si>
    <t>テスト五郎</t>
    <rPh sb="3" eb="5">
      <t>ゴロウ</t>
    </rPh>
    <phoneticPr fontId="2"/>
  </si>
  <si>
    <t>テスト六郎</t>
    <rPh sb="3" eb="5">
      <t>ロクロウ</t>
    </rPh>
    <phoneticPr fontId="2"/>
  </si>
  <si>
    <t>画面イメージ（使用者選択後）</t>
    <rPh sb="0" eb="2">
      <t>ガメン</t>
    </rPh>
    <rPh sb="7" eb="10">
      <t>シヨウシャ</t>
    </rPh>
    <rPh sb="10" eb="12">
      <t>センタク</t>
    </rPh>
    <rPh sb="12" eb="13">
      <t>ゴ</t>
    </rPh>
    <phoneticPr fontId="2"/>
  </si>
  <si>
    <t>R</t>
    <phoneticPr fontId="2"/>
  </si>
  <si>
    <t>画面イメージ（貸出ボタン押下後）</t>
    <rPh sb="0" eb="2">
      <t>ガメン</t>
    </rPh>
    <rPh sb="7" eb="9">
      <t>カシダシ</t>
    </rPh>
    <rPh sb="12" eb="14">
      <t>オウカ</t>
    </rPh>
    <rPh sb="14" eb="15">
      <t>ゴ</t>
    </rPh>
    <phoneticPr fontId="2"/>
  </si>
  <si>
    <t>オブジェクト</t>
    <phoneticPr fontId="2"/>
  </si>
  <si>
    <t>初期値</t>
    <rPh sb="0" eb="3">
      <t>ショキチ</t>
    </rPh>
    <phoneticPr fontId="2"/>
  </si>
  <si>
    <t>活性/非活性</t>
    <rPh sb="0" eb="2">
      <t>カッセイ</t>
    </rPh>
    <rPh sb="3" eb="6">
      <t>ヒカッセイ</t>
    </rPh>
    <phoneticPr fontId="2"/>
  </si>
  <si>
    <t>ラベル</t>
    <phoneticPr fontId="2"/>
  </si>
  <si>
    <t>非活性</t>
    <rPh sb="0" eb="2">
      <t>ヒカッセイ</t>
    </rPh>
    <phoneticPr fontId="2"/>
  </si>
  <si>
    <t>遷移元の備品詳細画面で表示していた備品の名称を表示する。</t>
    <rPh sb="0" eb="3">
      <t>センイモト</t>
    </rPh>
    <rPh sb="4" eb="10">
      <t>ビヒンショウサイガメン</t>
    </rPh>
    <rPh sb="11" eb="13">
      <t>ヒョウジ</t>
    </rPh>
    <rPh sb="17" eb="19">
      <t>ビヒン</t>
    </rPh>
    <rPh sb="20" eb="22">
      <t>メイショウ</t>
    </rPh>
    <rPh sb="23" eb="25">
      <t>ヒョウジ</t>
    </rPh>
    <phoneticPr fontId="2"/>
  </si>
  <si>
    <t>貸出可否が『貸出可』のシリアルナンバーを表示すること。</t>
    <rPh sb="0" eb="4">
      <t>カシダシカヒ</t>
    </rPh>
    <rPh sb="6" eb="9">
      <t>カシダシカ</t>
    </rPh>
    <rPh sb="20" eb="22">
      <t>ヒョウジ</t>
    </rPh>
    <phoneticPr fontId="2"/>
  </si>
  <si>
    <t>コンボボックス
（入力可）</t>
    <rPh sb="9" eb="12">
      <t>ニュウリョクカ</t>
    </rPh>
    <phoneticPr fontId="2"/>
  </si>
  <si>
    <t>空欄</t>
    <rPh sb="0" eb="1">
      <t>クウラン</t>
    </rPh>
    <phoneticPr fontId="2"/>
  </si>
  <si>
    <t>活性</t>
    <rPh sb="0" eb="1">
      <t>カッセイ</t>
    </rPh>
    <phoneticPr fontId="2"/>
  </si>
  <si>
    <t>一覧には社員データ(staff_data)テーブルにある使用者名が表示される。</t>
    <rPh sb="0" eb="2">
      <t>イチラン</t>
    </rPh>
    <rPh sb="4" eb="6">
      <t>シャイン</t>
    </rPh>
    <rPh sb="28" eb="32">
      <t>シヨウシャメイ</t>
    </rPh>
    <rPh sb="33" eb="35">
      <t>ヒョウジ</t>
    </rPh>
    <phoneticPr fontId="2"/>
  </si>
  <si>
    <t>・論理削除しているユーザーは表示しないようにすること。
・可能であれば空欄時は『選択してください』と表示すること。
・可能であればオートコンプリート機能に対応すること。</t>
    <rPh sb="1" eb="5">
      <t>ロンリサクジョ</t>
    </rPh>
    <rPh sb="14" eb="16">
      <t>ヒョウジ</t>
    </rPh>
    <rPh sb="29" eb="31">
      <t>カノウ</t>
    </rPh>
    <rPh sb="35" eb="38">
      <t>クウランジ</t>
    </rPh>
    <rPh sb="40" eb="42">
      <t>センタク</t>
    </rPh>
    <rPh sb="50" eb="52">
      <t>ヒョウジ</t>
    </rPh>
    <rPh sb="59" eb="61">
      <t>カノウ</t>
    </rPh>
    <rPh sb="74" eb="76">
      <t>キノウ</t>
    </rPh>
    <rPh sb="77" eb="79">
      <t>タイオウ</t>
    </rPh>
    <phoneticPr fontId="2"/>
  </si>
  <si>
    <t>日付</t>
    <rPh sb="0" eb="2">
      <t>ヒヅケ</t>
    </rPh>
    <phoneticPr fontId="2"/>
  </si>
  <si>
    <t>現在日付</t>
    <rPh sb="0" eb="3">
      <t>ゲンザイヒヅケ</t>
    </rPh>
    <phoneticPr fontId="2"/>
  </si>
  <si>
    <t xml:space="preserve">貸し出し日を表示する。
</t>
    <rPh sb="0" eb="1">
      <t>カ</t>
    </rPh>
    <rPh sb="2" eb="3">
      <t>ダ</t>
    </rPh>
    <rPh sb="4" eb="5">
      <t>ヒ</t>
    </rPh>
    <rPh sb="6" eb="8">
      <t>ヒョウジ</t>
    </rPh>
    <phoneticPr fontId="2"/>
  </si>
  <si>
    <t>可能であれば未来日の設定は不可にする。
カレンダーの使用可。</t>
    <rPh sb="0" eb="2">
      <t>カノウ</t>
    </rPh>
    <rPh sb="6" eb="9">
      <t>ミライビ</t>
    </rPh>
    <rPh sb="10" eb="12">
      <t>セッテイ</t>
    </rPh>
    <rPh sb="13" eb="15">
      <t>フカ</t>
    </rPh>
    <rPh sb="26" eb="29">
      <t>シヨウカ</t>
    </rPh>
    <phoneticPr fontId="2"/>
  </si>
  <si>
    <t>初期値については現場に合わせて調整すること。
可能であれば過去日の設定は不可にする。</t>
    <rPh sb="0" eb="3">
      <t>ショキチ</t>
    </rPh>
    <rPh sb="8" eb="10">
      <t>ゲンバ</t>
    </rPh>
    <rPh sb="11" eb="12">
      <t>ア</t>
    </rPh>
    <rPh sb="15" eb="17">
      <t>チョウセイ</t>
    </rPh>
    <rPh sb="23" eb="25">
      <t>カノウ</t>
    </rPh>
    <rPh sb="29" eb="32">
      <t>カコビ</t>
    </rPh>
    <rPh sb="33" eb="35">
      <t>セッテイ</t>
    </rPh>
    <rPh sb="36" eb="38">
      <t>フカ</t>
    </rPh>
    <phoneticPr fontId="2"/>
  </si>
  <si>
    <t>備品マスタテーブルの備考の内容（特記事項や補足など）を表示する。</t>
    <rPh sb="0" eb="2">
      <t>ビヒン</t>
    </rPh>
    <rPh sb="10" eb="12">
      <t>ビコウ</t>
    </rPh>
    <rPh sb="13" eb="15">
      <t>ナイヨウ</t>
    </rPh>
    <rPh sb="16" eb="20">
      <t>トッキジコウ</t>
    </rPh>
    <rPh sb="21" eb="23">
      <t>ホソク</t>
    </rPh>
    <rPh sb="27" eb="29">
      <t>ヒョウジ</t>
    </rPh>
    <phoneticPr fontId="2"/>
  </si>
  <si>
    <t>長文の場合、表示しきれない分は3点リーダーで省略する。</t>
    <rPh sb="0" eb="2">
      <t>チョウブン</t>
    </rPh>
    <rPh sb="3" eb="5">
      <t>バアイ</t>
    </rPh>
    <rPh sb="6" eb="8">
      <t>ヒョウジ</t>
    </rPh>
    <rPh sb="13" eb="14">
      <t>ブン</t>
    </rPh>
    <rPh sb="16" eb="17">
      <t>テン</t>
    </rPh>
    <rPh sb="22" eb="24">
      <t>ショウリャク</t>
    </rPh>
    <phoneticPr fontId="2"/>
  </si>
  <si>
    <t>Boolean</t>
  </si>
  <si>
    <t>チェックボックス</t>
    <phoneticPr fontId="2"/>
  </si>
  <si>
    <t>チェックの入ったもの(TRUE)を貸出対象にする。</t>
    <rPh sb="5" eb="6">
      <t>ハイ</t>
    </rPh>
    <rPh sb="17" eb="21">
      <t>カシダシタイショウ</t>
    </rPh>
    <phoneticPr fontId="2"/>
  </si>
  <si>
    <t>使用者が選択された場合、その行の貸出にチェックが入る。
使用者が空欄の場合、その行の貸出は非活性になる。</t>
    <rPh sb="0" eb="3">
      <t>シヨウシャ</t>
    </rPh>
    <rPh sb="4" eb="6">
      <t>センタク</t>
    </rPh>
    <rPh sb="9" eb="11">
      <t>バアイ</t>
    </rPh>
    <rPh sb="14" eb="15">
      <t>ギョウ</t>
    </rPh>
    <rPh sb="16" eb="18">
      <t>カシダシ</t>
    </rPh>
    <rPh sb="24" eb="25">
      <t>ハイ</t>
    </rPh>
    <rPh sb="28" eb="31">
      <t>シヨウシャ</t>
    </rPh>
    <rPh sb="32" eb="34">
      <t>クウラン</t>
    </rPh>
    <rPh sb="35" eb="37">
      <t>バアイ</t>
    </rPh>
    <rPh sb="40" eb="41">
      <t>ギョウ</t>
    </rPh>
    <rPh sb="42" eb="44">
      <t>カシダシ</t>
    </rPh>
    <rPh sb="45" eb="48">
      <t>ヒカッセイ</t>
    </rPh>
    <phoneticPr fontId="2"/>
  </si>
  <si>
    <t>ボタン</t>
    <phoneticPr fontId="2"/>
  </si>
  <si>
    <t xml:space="preserve">ボタンを押すと貸出処理を実行する。
</t>
  </si>
  <si>
    <t>貸出処理では入力チェックを行い、エラーが無ければ貸出対象のデータの登録処理を行う。</t>
    <rPh sb="0" eb="4">
      <t>カシダシショリ</t>
    </rPh>
    <rPh sb="6" eb="8">
      <t>ニュウリョク</t>
    </rPh>
    <rPh sb="13" eb="14">
      <t>オコナ</t>
    </rPh>
    <rPh sb="20" eb="21">
      <t>ナ</t>
    </rPh>
    <rPh sb="24" eb="28">
      <t>カシダシタイショウ</t>
    </rPh>
    <rPh sb="33" eb="37">
      <t>トウロクショリ</t>
    </rPh>
    <rPh sb="38" eb="39">
      <t>オコナ</t>
    </rPh>
    <phoneticPr fontId="2"/>
  </si>
  <si>
    <t>戻る</t>
    <rPh sb="0" eb="1">
      <t>モド</t>
    </rPh>
    <phoneticPr fontId="2"/>
  </si>
  <si>
    <t>押すと備品詳細画面に戻る。</t>
    <rPh sb="0" eb="1">
      <t>オ</t>
    </rPh>
    <rPh sb="3" eb="9">
      <t>ビヒンショウサイガメン</t>
    </rPh>
    <rPh sb="10" eb="11">
      <t>モド</t>
    </rPh>
    <phoneticPr fontId="2"/>
  </si>
  <si>
    <t>備品詳細画面遷移時にデータの再読み込みを行うこと。（貸出処理が反映された状態であること。）</t>
    <rPh sb="0" eb="6">
      <t>ビヒンショウサイガメン</t>
    </rPh>
    <rPh sb="6" eb="9">
      <t>センイジ</t>
    </rPh>
    <rPh sb="14" eb="16">
      <t>サイヨ</t>
    </rPh>
    <rPh sb="17" eb="18">
      <t>コ</t>
    </rPh>
    <rPh sb="20" eb="21">
      <t>オコナ</t>
    </rPh>
    <rPh sb="26" eb="30">
      <t>カシダシショリ</t>
    </rPh>
    <rPh sb="31" eb="33">
      <t>ハンエイ</t>
    </rPh>
    <rPh sb="36" eb="38">
      <t>ジョウタイ</t>
    </rPh>
    <phoneticPr fontId="2"/>
  </si>
  <si>
    <t>備品返却画面</t>
    <rPh sb="0" eb="2">
      <t>ビヒン</t>
    </rPh>
    <rPh sb="2" eb="4">
      <t>ヘンキャク</t>
    </rPh>
    <rPh sb="4" eb="6">
      <t>ガメン</t>
    </rPh>
    <phoneticPr fontId="2"/>
  </si>
  <si>
    <t>S000000016</t>
  </si>
  <si>
    <t>マスター　一郎</t>
  </si>
  <si>
    <t>備考</t>
  </si>
  <si>
    <t>S000000017</t>
  </si>
  <si>
    <t>システム管理者次郎</t>
  </si>
  <si>
    <t>S000000018</t>
  </si>
  <si>
    <t>責任　三郎</t>
  </si>
  <si>
    <t>S000000019</t>
  </si>
  <si>
    <t>管理　史郎</t>
  </si>
  <si>
    <t>S000000020</t>
  </si>
  <si>
    <t>利用者　つくも</t>
  </si>
  <si>
    <t>画面イメージ（返却チェック後）</t>
    <rPh sb="0" eb="2">
      <t>ガメン</t>
    </rPh>
    <rPh sb="7" eb="9">
      <t>ヘンキャク</t>
    </rPh>
    <rPh sb="13" eb="14">
      <t>ゴ</t>
    </rPh>
    <phoneticPr fontId="2"/>
  </si>
  <si>
    <t>画面イメージ（返却ボタン押下後）</t>
    <rPh sb="0" eb="2">
      <t>ガメン</t>
    </rPh>
    <rPh sb="7" eb="9">
      <t>ヘンキャク</t>
    </rPh>
    <rPh sb="12" eb="14">
      <t>オウカ</t>
    </rPh>
    <rPh sb="14" eb="15">
      <t>ゴ</t>
    </rPh>
    <phoneticPr fontId="2"/>
  </si>
  <si>
    <t>備品管理のシリアルナンバーを表示する。</t>
    <rPh sb="0" eb="2">
      <t>ビヒン</t>
    </rPh>
    <rPh sb="2" eb="4">
      <t>カンリ</t>
    </rPh>
    <rPh sb="14" eb="16">
      <t>ヒョウジ</t>
    </rPh>
    <phoneticPr fontId="2"/>
  </si>
  <si>
    <t>貸出可否が『貸出中』のシリアルナンバーを表示すること。</t>
    <rPh sb="0" eb="4">
      <t>カシダシカヒ</t>
    </rPh>
    <rPh sb="6" eb="8">
      <t>カシダシ</t>
    </rPh>
    <rPh sb="8" eb="9">
      <t>チュウ</t>
    </rPh>
    <rPh sb="20" eb="22">
      <t>ヒョウジ</t>
    </rPh>
    <phoneticPr fontId="2"/>
  </si>
  <si>
    <t>貸出中の使用者名を表示する。</t>
    <rPh sb="0" eb="3">
      <t>カシダシチュウ</t>
    </rPh>
    <rPh sb="4" eb="7">
      <t>シヨウシャ</t>
    </rPh>
    <rPh sb="7" eb="8">
      <t>メイ</t>
    </rPh>
    <rPh sb="9" eb="11">
      <t>ヒョウジ</t>
    </rPh>
    <phoneticPr fontId="2"/>
  </si>
  <si>
    <r>
      <rPr>
        <b/>
        <sz val="11"/>
        <color rgb="FFFF0000"/>
        <rFont val="Yu Gothic"/>
        <family val="3"/>
        <charset val="128"/>
        <scheme val="minor"/>
      </rPr>
      <t>※論理削除しているユーザーも表示すること。</t>
    </r>
    <r>
      <rPr>
        <sz val="11"/>
        <color theme="1"/>
        <rFont val="Yu Gothic"/>
        <family val="2"/>
        <scheme val="minor"/>
      </rPr>
      <t xml:space="preserve">
　でないと、退職して論理削除した社員から後日郵送された備品の返却処理が行えなくなります。</t>
    </r>
    <rPh sb="1" eb="5">
      <t>ロンリサクジョ</t>
    </rPh>
    <rPh sb="14" eb="16">
      <t>ヒョウジ</t>
    </rPh>
    <rPh sb="28" eb="30">
      <t>タイショク</t>
    </rPh>
    <rPh sb="32" eb="36">
      <t>ロンリサクジョ</t>
    </rPh>
    <rPh sb="38" eb="40">
      <t>シャイン</t>
    </rPh>
    <rPh sb="42" eb="44">
      <t>ゴジツ</t>
    </rPh>
    <rPh sb="44" eb="46">
      <t>ユウソウ</t>
    </rPh>
    <rPh sb="49" eb="51">
      <t>ビヒン</t>
    </rPh>
    <rPh sb="52" eb="54">
      <t>ヘンキャク</t>
    </rPh>
    <rPh sb="54" eb="56">
      <t>ショリ</t>
    </rPh>
    <rPh sb="57" eb="58">
      <t>オコナ</t>
    </rPh>
    <phoneticPr fontId="2"/>
  </si>
  <si>
    <t>貸し出し日を表示する。</t>
    <rPh sb="0" eb="1">
      <t>カ</t>
    </rPh>
    <rPh sb="2" eb="3">
      <t>ダ</t>
    </rPh>
    <rPh sb="4" eb="5">
      <t>ヒ</t>
    </rPh>
    <rPh sb="6" eb="8">
      <t>ヒョウジ</t>
    </rPh>
    <phoneticPr fontId="2"/>
  </si>
  <si>
    <t xml:space="preserve">ボタンを押すと返却処理を実行する。
</t>
    <rPh sb="7" eb="9">
      <t>ヘンキャク</t>
    </rPh>
    <phoneticPr fontId="2"/>
  </si>
  <si>
    <t>返却処理では既存データの更新（返却日・最終所在確認日の入力）を行った後、貸出可のデータを新規作成（シリアルナンバー、最終所在確認日の入力）します。</t>
    <rPh sb="0" eb="2">
      <t>ヘンキャク</t>
    </rPh>
    <rPh sb="2" eb="4">
      <t>ショリ</t>
    </rPh>
    <rPh sb="6" eb="8">
      <t>キゾン</t>
    </rPh>
    <rPh sb="12" eb="14">
      <t>コウシン</t>
    </rPh>
    <rPh sb="31" eb="32">
      <t>オコナ</t>
    </rPh>
    <rPh sb="34" eb="35">
      <t>アト</t>
    </rPh>
    <rPh sb="36" eb="39">
      <t>カシダシカ</t>
    </rPh>
    <rPh sb="44" eb="48">
      <t>シンキサクセイ</t>
    </rPh>
    <phoneticPr fontId="2"/>
  </si>
  <si>
    <t>入力チェックについて補足</t>
    <rPh sb="0" eb="2">
      <t>ニュウリョク</t>
    </rPh>
    <rPh sb="10" eb="12">
      <t>ホソク</t>
    </rPh>
    <phoneticPr fontId="2"/>
  </si>
  <si>
    <t>　・はい選択時は入力チェック継続、いいえ選択時は処理をキャンセル（中断）する。</t>
  </si>
  <si>
    <t>・一覧の入力チェックは、基本1行（1レコード）単位で行う。</t>
    <rPh sb="12" eb="14">
      <t>キホン</t>
    </rPh>
    <rPh sb="15" eb="16">
      <t>ギョウ</t>
    </rPh>
    <phoneticPr fontId="2"/>
  </si>
  <si>
    <t>　※各行で整合性が取れているか（辻褄が合っているか）確認するロジックになるよう心掛けること。</t>
    <phoneticPr fontId="2"/>
  </si>
  <si>
    <t>・貸出にチェックの入っていない行は対象外（無視）とする。</t>
    <rPh sb="1" eb="3">
      <t>カシダシ</t>
    </rPh>
    <phoneticPr fontId="2"/>
  </si>
  <si>
    <t>・名前が未入力（選択なし）で貸出にチェックが入っている場合はエラーにする。</t>
    <rPh sb="4" eb="7">
      <t>ミニュウリョク</t>
    </rPh>
    <rPh sb="14" eb="15">
      <t>カ</t>
    </rPh>
    <rPh sb="15" eb="16">
      <t>ダ</t>
    </rPh>
    <phoneticPr fontId="2"/>
  </si>
  <si>
    <t>・返却予定日が過去日の場合はエラーにする。</t>
    <rPh sb="3" eb="5">
      <t>ヨテイ</t>
    </rPh>
    <phoneticPr fontId="2"/>
  </si>
  <si>
    <t>・貸出予定日＞返却予定日の場合はエラーにする。</t>
    <rPh sb="3" eb="6">
      <t>ヨテイビ</t>
    </rPh>
    <rPh sb="9" eb="11">
      <t>ヨテイ</t>
    </rPh>
    <phoneticPr fontId="2"/>
  </si>
  <si>
    <t>・返却予定日が1年以上先の場合、注意喚起及び棚卸対応を行う旨の確認メッセージを表示する。</t>
    <rPh sb="3" eb="5">
      <t>ヨテイ</t>
    </rPh>
    <phoneticPr fontId="2"/>
  </si>
  <si>
    <t>　（例：「返却予定日が1年以上先になっています。1年おきに棚卸確認が必要になりますが、よろしいですか？」）</t>
    <phoneticPr fontId="2"/>
  </si>
  <si>
    <t>・貸出予定日が過去日の場合は確認メッセージを表示する。</t>
    <rPh sb="3" eb="5">
      <t>ヨテイ</t>
    </rPh>
    <rPh sb="9" eb="10">
      <t>ビ</t>
    </rPh>
    <phoneticPr fontId="2"/>
  </si>
  <si>
    <t>　（例：「貸出予定日が過去日になっていますがよろしいですか？」）</t>
    <phoneticPr fontId="2"/>
  </si>
  <si>
    <t>第4版</t>
    <rPh sb="0" eb="1">
      <t>ダイ</t>
    </rPh>
    <rPh sb="2" eb="3">
      <t>バン</t>
    </rPh>
    <phoneticPr fontId="2"/>
  </si>
  <si>
    <t>備品貸出画面（項目一覧）に
入力チェックについての補足事項を追加</t>
    <rPh sb="0" eb="2">
      <t>ビヒン</t>
    </rPh>
    <rPh sb="2" eb="4">
      <t>カシダシ</t>
    </rPh>
    <rPh sb="4" eb="6">
      <t>ガメン</t>
    </rPh>
    <rPh sb="7" eb="11">
      <t>コウモクイチラン</t>
    </rPh>
    <rPh sb="14" eb="16">
      <t>ニュウリョク</t>
    </rPh>
    <rPh sb="25" eb="29">
      <t>ホソクジコウ</t>
    </rPh>
    <rPh sb="30" eb="32">
      <t>ツイカ</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</si>
</sst>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11]#,##0;[Red]\-[$￥-411]#,##0"/>
    <numFmt numFmtId="177" formatCode="[$￥-411]#,##0;[Red]&quot;-&quot;[$￥-411]#,##0"/>
  </numFmts>
  <fonts count="34">
    <font>
      <sz val="11"/>
      <color theme="1"/>
      <name val="Yu Gothic"/>
      <family val="2"/>
      <scheme val="minor"/>
    </font>
    <font>
      <sz val="11"/>
      <color theme="1"/>
      <name val="Yu Gothic"/>
      <family val="2"/>
      <charset val="128"/>
      <scheme val="minor"/>
    </font>
    <font>
      <sz val="6"/>
      <name val="Yu Gothic"/>
      <family val="3"/>
      <charset val="128"/>
      <scheme val="minor"/>
    </font>
    <font>
      <sz val="20"/>
      <color theme="1"/>
      <name val="Yu Gothic"/>
      <family val="2"/>
      <scheme val="minor"/>
    </font>
    <font>
      <sz val="16"/>
      <color theme="1"/>
      <name val="Yu Gothic"/>
      <family val="2"/>
      <scheme val="minor"/>
    </font>
    <font>
      <b/>
      <u/>
      <sz val="14"/>
      <color theme="1"/>
      <name val="Yu Gothic"/>
      <family val="3"/>
      <charset val="128"/>
      <scheme val="minor"/>
    </font>
    <font>
      <b/>
      <sz val="11"/>
      <color theme="1"/>
      <name val="Yu Gothic"/>
      <family val="3"/>
      <charset val="128"/>
      <scheme val="minor"/>
    </font>
    <font>
      <b/>
      <sz val="11"/>
      <color theme="0"/>
      <name val="Yu Gothic"/>
      <family val="3"/>
      <charset val="128"/>
      <scheme val="minor"/>
    </font>
    <font>
      <u/>
      <sz val="11"/>
      <color theme="8"/>
      <name val="Yu Gothic"/>
      <family val="3"/>
      <charset val="128"/>
      <scheme val="minor"/>
    </font>
    <font>
      <sz val="11"/>
      <color rgb="FF000000"/>
      <name val="游ゴシック"/>
      <family val="2"/>
      <charset val="128"/>
    </font>
    <font>
      <sz val="10"/>
      <color rgb="FFFFFFFF"/>
      <name val="游ゴシック"/>
      <family val="3"/>
      <charset val="128"/>
    </font>
    <font>
      <b/>
      <sz val="10"/>
      <color rgb="FF000000"/>
      <name val="游ゴシック"/>
      <family val="3"/>
      <charset val="128"/>
    </font>
    <font>
      <sz val="10"/>
      <color rgb="FFCC0000"/>
      <name val="游ゴシック"/>
      <family val="3"/>
      <charset val="128"/>
    </font>
    <font>
      <b/>
      <sz val="10"/>
      <color rgb="FFFFFFFF"/>
      <name val="游ゴシック"/>
      <family val="3"/>
      <charset val="128"/>
    </font>
    <font>
      <i/>
      <sz val="10"/>
      <color rgb="FF808080"/>
      <name val="游ゴシック"/>
      <family val="3"/>
      <charset val="128"/>
    </font>
    <font>
      <sz val="10"/>
      <color rgb="FF006600"/>
      <name val="游ゴシック"/>
      <family val="3"/>
      <charset val="128"/>
    </font>
    <font>
      <b/>
      <sz val="24"/>
      <color rgb="FF000000"/>
      <name val="游ゴシック"/>
      <family val="3"/>
      <charset val="128"/>
    </font>
    <font>
      <sz val="18"/>
      <color rgb="FF000000"/>
      <name val="游ゴシック"/>
      <family val="3"/>
      <charset val="128"/>
    </font>
    <font>
      <b/>
      <i/>
      <sz val="16"/>
      <color rgb="FF000000"/>
      <name val="游ゴシック"/>
      <family val="3"/>
      <charset val="128"/>
    </font>
    <font>
      <sz val="12"/>
      <color rgb="FF000000"/>
      <name val="游ゴシック"/>
      <family val="3"/>
      <charset val="128"/>
    </font>
    <font>
      <u/>
      <sz val="10"/>
      <color rgb="FF0000EE"/>
      <name val="游ゴシック"/>
      <family val="3"/>
      <charset val="128"/>
    </font>
    <font>
      <sz val="10"/>
      <color rgb="FF996600"/>
      <name val="游ゴシック"/>
      <family val="3"/>
      <charset val="128"/>
    </font>
    <font>
      <sz val="10"/>
      <color rgb="FF333333"/>
      <name val="游ゴシック"/>
      <family val="3"/>
      <charset val="128"/>
    </font>
    <font>
      <b/>
      <i/>
      <u/>
      <sz val="10"/>
      <color rgb="FF000000"/>
      <name val="游ゴシック"/>
      <family val="3"/>
      <charset val="128"/>
    </font>
    <font>
      <b/>
      <i/>
      <u/>
      <sz val="11"/>
      <color rgb="FF000000"/>
      <name val="游ゴシック"/>
      <family val="3"/>
      <charset val="128"/>
    </font>
    <font>
      <sz val="11"/>
      <color rgb="FF000000"/>
      <name val="游ゴシック"/>
      <family val="3"/>
      <charset val="128"/>
    </font>
    <font>
      <u/>
      <sz val="11"/>
      <color rgb="FF0563C1"/>
      <name val="游ゴシック"/>
      <family val="2"/>
      <charset val="128"/>
    </font>
    <font>
      <u/>
      <sz val="11"/>
      <color theme="10"/>
      <name val="Yu Gothic"/>
      <family val="2"/>
      <charset val="128"/>
      <scheme val="minor"/>
    </font>
    <font>
      <u/>
      <sz val="11"/>
      <color rgb="FF0563C1"/>
      <name val="游ゴシック"/>
      <family val="3"/>
      <charset val="128"/>
    </font>
    <font>
      <sz val="11"/>
      <color rgb="FF000000"/>
      <name val="游ゴシック1"/>
      <family val="2"/>
      <charset val="128"/>
    </font>
    <font>
      <sz val="11"/>
      <color rgb="FF000000"/>
      <name val="游ゴシック2"/>
      <charset val="128"/>
    </font>
    <font>
      <sz val="11"/>
      <color theme="1"/>
      <name val="Wingdings 2"/>
      <family val="1"/>
      <charset val="2"/>
    </font>
    <font>
      <b/>
      <sz val="11"/>
      <color rgb="FFFF0000"/>
      <name val="Yu Gothic"/>
      <family val="3"/>
      <charset val="128"/>
      <scheme val="minor"/>
    </font>
    <font>
      <sz val="11"/>
      <color theme="1"/>
      <name val="Yu Gothic"/>
      <family val="3"/>
      <charset val="128"/>
      <scheme val="minor"/>
    </font>
  </fonts>
  <fills count="19">
    <fill>
      <patternFill patternType="none"/>
    </fill>
    <fill>
      <patternFill patternType="gray125"/>
    </fill>
    <fill>
      <patternFill patternType="solid">
        <fgColor rgb="FF002060"/>
        <bgColor indexed="64"/>
      </patternFill>
    </fill>
    <fill>
      <patternFill patternType="solid">
        <fgColor rgb="FF000000"/>
        <bgColor rgb="FF003300"/>
      </patternFill>
    </fill>
    <fill>
      <patternFill patternType="solid">
        <fgColor rgb="FF808080"/>
        <bgColor rgb="FF969696"/>
      </patternFill>
    </fill>
    <fill>
      <patternFill patternType="solid">
        <fgColor rgb="FFDDDDDD"/>
        <bgColor rgb="FFDAE3F3"/>
      </patternFill>
    </fill>
    <fill>
      <patternFill patternType="solid">
        <fgColor rgb="FFFFCCCC"/>
        <bgColor rgb="FFDDDDDD"/>
      </patternFill>
    </fill>
    <fill>
      <patternFill patternType="solid">
        <fgColor rgb="FFCC0000"/>
        <bgColor rgb="FF800000"/>
      </patternFill>
    </fill>
    <fill>
      <patternFill patternType="solid">
        <fgColor rgb="FFCCFFCC"/>
        <bgColor rgb="FFDEEBF7"/>
      </patternFill>
    </fill>
    <fill>
      <patternFill patternType="solid">
        <fgColor rgb="FFFFFFCC"/>
        <bgColor rgb="FFFFFFFF"/>
      </patternFill>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CCFFFF"/>
        <bgColor indexed="64"/>
      </patternFill>
    </fill>
    <fill>
      <patternFill patternType="solid">
        <fgColor theme="0" tint="-0.14999847407452621"/>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rgb="FF808080"/>
      </left>
      <right style="thin">
        <color rgb="FF808080"/>
      </right>
      <top style="thin">
        <color rgb="FF808080"/>
      </top>
      <bottom style="thin">
        <color rgb="FF808080"/>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82">
    <xf numFmtId="0" fontId="0" fillId="0" borderId="0"/>
    <xf numFmtId="0" fontId="9" fillId="0" borderId="0">
      <alignment vertical="center"/>
    </xf>
    <xf numFmtId="0" fontId="26" fillId="0" borderId="0" applyBorder="0" applyProtection="0">
      <alignment vertical="center"/>
    </xf>
    <xf numFmtId="0" fontId="10" fillId="3" borderId="0">
      <alignment vertical="center"/>
    </xf>
    <xf numFmtId="0" fontId="10" fillId="4" borderId="0">
      <alignment vertical="center"/>
    </xf>
    <xf numFmtId="0" fontId="11" fillId="5" borderId="0">
      <alignment vertical="center"/>
    </xf>
    <xf numFmtId="0" fontId="11" fillId="0" borderId="0">
      <alignment vertical="center"/>
    </xf>
    <xf numFmtId="0" fontId="12" fillId="6" borderId="0">
      <alignment vertical="center"/>
    </xf>
    <xf numFmtId="0" fontId="13" fillId="7" borderId="0">
      <alignment vertical="center"/>
    </xf>
    <xf numFmtId="0" fontId="14" fillId="0" borderId="0">
      <alignment vertical="center"/>
    </xf>
    <xf numFmtId="0" fontId="15" fillId="8" borderId="0">
      <alignment vertical="center"/>
    </xf>
    <xf numFmtId="0" fontId="16" fillId="0" borderId="0">
      <alignment vertical="center"/>
    </xf>
    <xf numFmtId="0" fontId="17" fillId="0" borderId="0">
      <alignment vertical="center"/>
    </xf>
    <xf numFmtId="0" fontId="18" fillId="0" borderId="0">
      <alignment horizontal="center" vertical="center"/>
    </xf>
    <xf numFmtId="0" fontId="19" fillId="0" borderId="0">
      <alignment vertical="center"/>
    </xf>
    <xf numFmtId="0" fontId="18" fillId="0" borderId="0">
      <alignment horizontal="center" vertical="center" textRotation="90"/>
    </xf>
    <xf numFmtId="0" fontId="20" fillId="0" borderId="0">
      <alignment vertical="center"/>
    </xf>
    <xf numFmtId="0" fontId="21" fillId="9" borderId="0">
      <alignment vertical="center"/>
    </xf>
    <xf numFmtId="0" fontId="22" fillId="9" borderId="11">
      <alignment vertical="center"/>
    </xf>
    <xf numFmtId="0" fontId="23" fillId="0" borderId="0">
      <alignment vertical="center"/>
    </xf>
    <xf numFmtId="0" fontId="24" fillId="0" borderId="0">
      <alignment vertical="center"/>
    </xf>
    <xf numFmtId="176" fontId="24" fillId="0" borderId="0">
      <alignment vertical="center"/>
    </xf>
    <xf numFmtId="0" fontId="25" fillId="0" borderId="0">
      <alignment vertical="center"/>
    </xf>
    <xf numFmtId="0" fontId="25" fillId="0" borderId="0">
      <alignment vertical="center"/>
    </xf>
    <xf numFmtId="0" fontId="12" fillId="0" borderId="0">
      <alignment vertical="center"/>
    </xf>
    <xf numFmtId="0" fontId="25" fillId="0" borderId="0">
      <alignment vertical="center"/>
    </xf>
    <xf numFmtId="0" fontId="1" fillId="0" borderId="0">
      <alignment vertical="center"/>
    </xf>
    <xf numFmtId="0" fontId="27" fillId="0" borderId="0" applyNumberFormat="0" applyFill="0" applyBorder="0" applyAlignment="0" applyProtection="0">
      <alignment vertical="center"/>
    </xf>
    <xf numFmtId="0" fontId="11" fillId="0" borderId="0">
      <alignment vertical="center"/>
    </xf>
    <xf numFmtId="0" fontId="10" fillId="10" borderId="0">
      <alignment vertical="center"/>
    </xf>
    <xf numFmtId="0" fontId="10" fillId="11" borderId="0">
      <alignment vertical="center"/>
    </xf>
    <xf numFmtId="0" fontId="11" fillId="12" borderId="0">
      <alignment vertical="center"/>
    </xf>
    <xf numFmtId="0" fontId="12" fillId="13" borderId="0">
      <alignment vertical="center"/>
    </xf>
    <xf numFmtId="0" fontId="13" fillId="14" borderId="0">
      <alignment vertical="center"/>
    </xf>
    <xf numFmtId="0" fontId="28" fillId="0" borderId="0">
      <alignment vertical="center"/>
    </xf>
    <xf numFmtId="0" fontId="29" fillId="0" borderId="0">
      <alignment vertical="center"/>
    </xf>
    <xf numFmtId="0" fontId="14" fillId="0" borderId="0">
      <alignment vertical="center"/>
    </xf>
    <xf numFmtId="0" fontId="15" fillId="15" borderId="0">
      <alignment vertical="center"/>
    </xf>
    <xf numFmtId="0" fontId="16" fillId="0" borderId="0">
      <alignment vertical="center"/>
    </xf>
    <xf numFmtId="0" fontId="17" fillId="0" borderId="0">
      <alignment vertical="center"/>
    </xf>
    <xf numFmtId="0" fontId="19" fillId="0" borderId="0">
      <alignment vertical="center"/>
    </xf>
    <xf numFmtId="0" fontId="18" fillId="0" borderId="0">
      <alignment horizontal="center" vertical="center" textRotation="90"/>
    </xf>
    <xf numFmtId="0" fontId="20" fillId="0" borderId="0">
      <alignment vertical="center"/>
    </xf>
    <xf numFmtId="0" fontId="21" fillId="16" borderId="0">
      <alignment vertical="center"/>
    </xf>
    <xf numFmtId="0" fontId="22" fillId="16" borderId="11">
      <alignment vertical="center"/>
    </xf>
    <xf numFmtId="0" fontId="23" fillId="0" borderId="0">
      <alignment vertical="center"/>
    </xf>
    <xf numFmtId="177" fontId="24" fillId="0" borderId="0">
      <alignment vertical="center"/>
    </xf>
    <xf numFmtId="0" fontId="25" fillId="0" borderId="0">
      <alignment vertical="center"/>
    </xf>
    <xf numFmtId="0" fontId="25" fillId="0" borderId="0">
      <alignment vertical="center"/>
    </xf>
    <xf numFmtId="0" fontId="12" fillId="0" borderId="0">
      <alignment vertical="center"/>
    </xf>
    <xf numFmtId="0" fontId="30" fillId="0" borderId="0">
      <alignment vertical="center"/>
    </xf>
    <xf numFmtId="0" fontId="9" fillId="0" borderId="0">
      <alignment vertical="center"/>
    </xf>
    <xf numFmtId="0" fontId="26" fillId="0" borderId="0" applyBorder="0" applyProtection="0">
      <alignment vertical="center"/>
    </xf>
    <xf numFmtId="0" fontId="18" fillId="0" borderId="0">
      <alignment horizontal="center" vertical="center"/>
    </xf>
    <xf numFmtId="0" fontId="18" fillId="0" borderId="0">
      <alignment horizontal="center" vertical="center"/>
    </xf>
    <xf numFmtId="0" fontId="16" fillId="0" borderId="0">
      <alignment vertical="center"/>
    </xf>
    <xf numFmtId="0" fontId="24" fillId="0" borderId="0">
      <alignment vertical="center"/>
    </xf>
    <xf numFmtId="0" fontId="23" fillId="0" borderId="0">
      <alignment vertical="center"/>
    </xf>
    <xf numFmtId="0" fontId="1" fillId="0" borderId="0">
      <alignment vertical="center"/>
    </xf>
    <xf numFmtId="0" fontId="27" fillId="0" borderId="0" applyNumberFormat="0" applyFill="0" applyBorder="0" applyAlignment="0" applyProtection="0">
      <alignment vertical="center"/>
    </xf>
    <xf numFmtId="0" fontId="24" fillId="0" borderId="0">
      <alignment vertical="center"/>
    </xf>
    <xf numFmtId="0" fontId="18" fillId="0" borderId="0">
      <alignment horizontal="center" vertical="center"/>
    </xf>
    <xf numFmtId="0" fontId="24" fillId="0" borderId="0">
      <alignment vertical="center"/>
    </xf>
    <xf numFmtId="0" fontId="18" fillId="0" borderId="0">
      <alignment horizontal="center" vertical="center"/>
    </xf>
    <xf numFmtId="0" fontId="18" fillId="0" borderId="0">
      <alignment horizontal="center" vertical="center"/>
    </xf>
    <xf numFmtId="0" fontId="18" fillId="0" borderId="0">
      <alignment horizontal="center" vertical="center"/>
    </xf>
    <xf numFmtId="0" fontId="18" fillId="0" borderId="0">
      <alignment horizontal="center" vertical="center"/>
    </xf>
    <xf numFmtId="0" fontId="24" fillId="0" borderId="0">
      <alignment vertical="center"/>
    </xf>
    <xf numFmtId="0" fontId="24" fillId="0" borderId="0">
      <alignment vertical="center"/>
    </xf>
    <xf numFmtId="0" fontId="24" fillId="0" borderId="0">
      <alignment vertical="center"/>
    </xf>
    <xf numFmtId="0" fontId="24" fillId="0" borderId="0">
      <alignment vertical="center"/>
    </xf>
    <xf numFmtId="0" fontId="16" fillId="0" borderId="0">
      <alignment vertical="center"/>
    </xf>
    <xf numFmtId="0" fontId="23" fillId="0" borderId="0">
      <alignment vertical="center"/>
    </xf>
    <xf numFmtId="0" fontId="16" fillId="0" borderId="0">
      <alignment vertical="center"/>
    </xf>
    <xf numFmtId="0" fontId="23" fillId="0" borderId="0">
      <alignment vertical="center"/>
    </xf>
    <xf numFmtId="0" fontId="16" fillId="0" borderId="0">
      <alignment vertical="center"/>
    </xf>
    <xf numFmtId="0" fontId="23" fillId="0" borderId="0">
      <alignment vertical="center"/>
    </xf>
    <xf numFmtId="0" fontId="23" fillId="0" borderId="0">
      <alignment vertical="center"/>
    </xf>
    <xf numFmtId="0" fontId="16" fillId="0" borderId="0">
      <alignment vertical="center"/>
    </xf>
    <xf numFmtId="0" fontId="24" fillId="0" borderId="0">
      <alignment vertical="center"/>
    </xf>
    <xf numFmtId="0" fontId="18" fillId="0" borderId="0">
      <alignment horizontal="center" vertical="center"/>
    </xf>
    <xf numFmtId="0" fontId="24" fillId="0" borderId="0">
      <alignment vertical="center"/>
    </xf>
  </cellStyleXfs>
  <cellXfs count="71">
    <xf numFmtId="0" fontId="0" fillId="0" borderId="0" xfId="0"/>
    <xf numFmtId="0" fontId="3" fillId="0" borderId="0" xfId="0" applyFont="1" applyAlignment="1">
      <alignment horizontal="center" vertical="center"/>
    </xf>
    <xf numFmtId="0" fontId="0" fillId="0" borderId="9" xfId="0" applyBorder="1" applyAlignment="1">
      <alignment horizontal="center" vertical="center"/>
    </xf>
    <xf numFmtId="0" fontId="0" fillId="0" borderId="9" xfId="0" applyBorder="1" applyAlignment="1">
      <alignment horizontal="center"/>
    </xf>
    <xf numFmtId="0" fontId="5" fillId="0" borderId="0" xfId="0" applyFont="1"/>
    <xf numFmtId="0" fontId="0" fillId="0" borderId="9" xfId="0" applyBorder="1"/>
    <xf numFmtId="0" fontId="7" fillId="2" borderId="9" xfId="0" applyFont="1" applyFill="1" applyBorder="1"/>
    <xf numFmtId="0" fontId="7" fillId="2" borderId="0" xfId="0" applyFont="1" applyFill="1"/>
    <xf numFmtId="0" fontId="0" fillId="0" borderId="1" xfId="0" applyBorder="1"/>
    <xf numFmtId="0" fontId="0" fillId="0" borderId="2" xfId="0" applyBorder="1"/>
    <xf numFmtId="0" fontId="0" fillId="0" borderId="5" xfId="0" applyBorder="1"/>
    <xf numFmtId="0" fontId="0" fillId="0" borderId="6" xfId="0" applyBorder="1"/>
    <xf numFmtId="0" fontId="6" fillId="0" borderId="0" xfId="0" applyFont="1"/>
    <xf numFmtId="0" fontId="0" fillId="0" borderId="7" xfId="0" applyBorder="1"/>
    <xf numFmtId="0" fontId="0" fillId="0" borderId="3" xfId="0" applyBorder="1"/>
    <xf numFmtId="0" fontId="0" fillId="0" borderId="4" xfId="0" applyBorder="1"/>
    <xf numFmtId="0" fontId="0" fillId="0" borderId="8" xfId="0" applyBorder="1"/>
    <xf numFmtId="0" fontId="8" fillId="0" borderId="9" xfId="0" applyFont="1" applyBorder="1"/>
    <xf numFmtId="0" fontId="0" fillId="17" borderId="9" xfId="0" applyFill="1" applyBorder="1"/>
    <xf numFmtId="0" fontId="0" fillId="0" borderId="0" xfId="0" applyAlignment="1">
      <alignment horizontal="center"/>
    </xf>
    <xf numFmtId="14" fontId="0" fillId="0" borderId="9" xfId="0" applyNumberFormat="1" applyBorder="1" applyAlignment="1">
      <alignment horizontal="center"/>
    </xf>
    <xf numFmtId="0" fontId="0" fillId="17" borderId="9" xfId="0" applyFill="1" applyBorder="1" applyAlignment="1">
      <alignment horizontal="center" vertical="center"/>
    </xf>
    <xf numFmtId="0" fontId="0" fillId="17" borderId="9" xfId="0" applyFill="1" applyBorder="1" applyAlignment="1">
      <alignment horizontal="center" vertical="center" wrapText="1"/>
    </xf>
    <xf numFmtId="0" fontId="0" fillId="17" borderId="9" xfId="0" applyFill="1" applyBorder="1" applyAlignment="1">
      <alignment vertical="center"/>
    </xf>
    <xf numFmtId="0" fontId="0" fillId="0" borderId="9" xfId="0" quotePrefix="1" applyBorder="1" applyAlignment="1">
      <alignment horizontal="center"/>
    </xf>
    <xf numFmtId="0" fontId="0" fillId="0" borderId="9" xfId="0" quotePrefix="1" applyBorder="1" applyAlignment="1">
      <alignment horizontal="center" vertical="center"/>
    </xf>
    <xf numFmtId="0" fontId="0" fillId="0" borderId="9" xfId="0" applyBorder="1" applyAlignment="1">
      <alignment horizontal="left" vertical="top" wrapText="1"/>
    </xf>
    <xf numFmtId="0" fontId="0" fillId="0" borderId="9" xfId="0" applyBorder="1" applyAlignment="1">
      <alignment horizontal="left" vertical="top"/>
    </xf>
    <xf numFmtId="0" fontId="0" fillId="0" borderId="14" xfId="0" applyBorder="1"/>
    <xf numFmtId="0" fontId="0" fillId="0" borderId="25" xfId="0" applyBorder="1"/>
    <xf numFmtId="0" fontId="7" fillId="2" borderId="10" xfId="0" applyFont="1" applyFill="1" applyBorder="1"/>
    <xf numFmtId="0" fontId="0" fillId="18" borderId="26" xfId="0" applyFill="1" applyBorder="1"/>
    <xf numFmtId="0" fontId="0" fillId="18" borderId="24" xfId="0" applyFill="1" applyBorder="1"/>
    <xf numFmtId="0" fontId="7" fillId="2" borderId="9" xfId="0" applyFont="1" applyFill="1" applyBorder="1" applyAlignment="1">
      <alignment horizontal="center"/>
    </xf>
    <xf numFmtId="0" fontId="0" fillId="0" borderId="12"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0" fillId="0" borderId="16" xfId="0" applyBorder="1"/>
    <xf numFmtId="0" fontId="0" fillId="0" borderId="23" xfId="0" applyBorder="1"/>
    <xf numFmtId="0" fontId="0" fillId="0" borderId="15" xfId="0" applyBorder="1"/>
    <xf numFmtId="0" fontId="0" fillId="0" borderId="13" xfId="0" applyBorder="1"/>
    <xf numFmtId="0" fontId="0" fillId="0" borderId="27" xfId="0" applyBorder="1"/>
    <xf numFmtId="0" fontId="0" fillId="0" borderId="28" xfId="0" applyBorder="1"/>
    <xf numFmtId="0" fontId="0" fillId="0" borderId="9" xfId="0" applyBorder="1" applyAlignment="1">
      <alignment horizontal="left"/>
    </xf>
    <xf numFmtId="0" fontId="0" fillId="0" borderId="13" xfId="0" applyBorder="1" applyAlignment="1">
      <alignment horizontal="left"/>
    </xf>
    <xf numFmtId="0" fontId="0" fillId="0" borderId="26" xfId="0" applyBorder="1"/>
    <xf numFmtId="0" fontId="0" fillId="0" borderId="24" xfId="0" applyBorder="1"/>
    <xf numFmtId="0" fontId="0" fillId="0" borderId="9" xfId="0" applyBorder="1" applyAlignment="1">
      <alignment wrapText="1"/>
    </xf>
    <xf numFmtId="14" fontId="0" fillId="0" borderId="9" xfId="0" quotePrefix="1" applyNumberFormat="1" applyBorder="1" applyAlignment="1">
      <alignment horizontal="center" vertical="center"/>
    </xf>
    <xf numFmtId="0" fontId="0" fillId="0" borderId="9" xfId="0" applyBorder="1" applyAlignment="1">
      <alignment horizontal="center" vertical="center" wrapText="1"/>
    </xf>
    <xf numFmtId="0" fontId="31" fillId="0" borderId="9" xfId="0" quotePrefix="1" applyFont="1" applyBorder="1" applyAlignment="1">
      <alignment horizontal="center"/>
    </xf>
    <xf numFmtId="0" fontId="25" fillId="0" borderId="9" xfId="25" applyBorder="1">
      <alignment vertical="center"/>
    </xf>
    <xf numFmtId="0" fontId="33" fillId="0" borderId="9" xfId="0" applyFont="1" applyBorder="1" applyAlignment="1">
      <alignment horizontal="left" vertical="top" wrapText="1"/>
    </xf>
    <xf numFmtId="0" fontId="4" fillId="0" borderId="0" xfId="0" applyFont="1" applyAlignment="1">
      <alignment horizontal="center" vertical="center"/>
    </xf>
    <xf numFmtId="0" fontId="3" fillId="0" borderId="1" xfId="0" applyFont="1" applyBorder="1" applyAlignment="1">
      <alignment horizontal="center" vertical="center" wrapText="1"/>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8" xfId="0" applyFont="1" applyBorder="1" applyAlignment="1">
      <alignment horizontal="center" vertical="center"/>
    </xf>
    <xf numFmtId="0" fontId="0" fillId="0" borderId="9" xfId="0" applyBorder="1" applyAlignment="1">
      <alignment horizontal="center" vertical="center"/>
    </xf>
    <xf numFmtId="0" fontId="0" fillId="0" borderId="9" xfId="0" applyBorder="1" applyAlignment="1">
      <alignment horizontal="left" indent="1"/>
    </xf>
    <xf numFmtId="31" fontId="0" fillId="0" borderId="9" xfId="0" applyNumberFormat="1" applyBorder="1" applyAlignment="1">
      <alignment horizontal="left" indent="1"/>
    </xf>
    <xf numFmtId="0" fontId="0" fillId="0" borderId="9" xfId="0" applyBorder="1" applyAlignment="1">
      <alignment horizontal="center"/>
    </xf>
  </cellXfs>
  <cellStyles count="82">
    <cellStyle name="Accent" xfId="28" xr:uid="{7FCFCAFF-13AC-43DD-A5DF-89BAD2F36CFB}"/>
    <cellStyle name="Accent 1" xfId="29" xr:uid="{AEF350E4-B964-4C3D-A277-138F93041D84}"/>
    <cellStyle name="Accent 1 5" xfId="3" xr:uid="{E64466AD-7FE8-43CC-A0C9-95091EA228F5}"/>
    <cellStyle name="Accent 2" xfId="30" xr:uid="{7099F9B7-F731-4C65-AF7E-EA6D40051A72}"/>
    <cellStyle name="Accent 2 6" xfId="4" xr:uid="{D85E79B2-B456-4792-B219-AE4696FCB083}"/>
    <cellStyle name="Accent 3" xfId="31" xr:uid="{03FB64CF-D0C6-42D7-A74C-9861D7031C38}"/>
    <cellStyle name="Accent 3 7" xfId="5" xr:uid="{281060CD-E71C-490B-83C1-8E15D9A246EF}"/>
    <cellStyle name="Accent 4" xfId="6" xr:uid="{3413450A-D6F1-4529-A9EC-4E0C91739D1B}"/>
    <cellStyle name="Bad" xfId="32" xr:uid="{FFDD38DF-0C46-4455-8CB4-F22BD8D65560}"/>
    <cellStyle name="Bad 8" xfId="7" xr:uid="{FA9D9E75-1F55-4611-A853-5D8935220CD2}"/>
    <cellStyle name="Error" xfId="33" xr:uid="{81EAFAA4-1E59-4EF3-B946-059E3C20649E}"/>
    <cellStyle name="Error 9" xfId="8" xr:uid="{CDFD0A32-6076-423F-BA8D-6641EF3352F0}"/>
    <cellStyle name="Excel Built-in Hyperlink" xfId="34" xr:uid="{FD4ED533-9F65-4FA3-9377-6A090D4DEE41}"/>
    <cellStyle name="Excel Built-in Normal" xfId="35" xr:uid="{022D9707-FE65-4EEF-B8C2-525F0A0B9C21}"/>
    <cellStyle name="Excel Built-in Normal 2" xfId="50" xr:uid="{BC8D89FE-A518-4169-B93C-2D3F18ED3208}"/>
    <cellStyle name="Footnote" xfId="36" xr:uid="{221E75BF-7674-4D86-A6D9-0CD3950B80AC}"/>
    <cellStyle name="Footnote 11" xfId="9" xr:uid="{E69BFA36-D063-475F-9D97-B86B1A7B58F2}"/>
    <cellStyle name="Good" xfId="37" xr:uid="{F20EB0B8-3C6F-45DD-B023-DF17CD9435C9}"/>
    <cellStyle name="Good 12" xfId="10" xr:uid="{A2179257-F51C-4356-AD86-16E76886A567}"/>
    <cellStyle name="Heading" xfId="11" xr:uid="{6C8C31A7-EBE2-4984-9BC2-767F6FEF8945}"/>
    <cellStyle name="Heading (user)" xfId="38" xr:uid="{D8C87F0A-9760-4466-9E6E-5F036666F1F8}"/>
    <cellStyle name="Heading 1" xfId="39" xr:uid="{1BDFC050-635D-4906-BC95-938961600C0D}"/>
    <cellStyle name="Heading 1 14" xfId="12" xr:uid="{C3A0E64D-A43F-4140-ABEE-8FEAFCF978BE}"/>
    <cellStyle name="Heading 10" xfId="73" xr:uid="{E59FE436-BF62-4615-BE67-E71E2A6C096A}"/>
    <cellStyle name="Heading 11" xfId="78" xr:uid="{0589CCE4-F36D-45D5-ABD5-AD1F7F5E2B0B}"/>
    <cellStyle name="Heading 12" xfId="75" xr:uid="{A6DF4250-FF67-4BBC-A160-4ABE395F4F2F}"/>
    <cellStyle name="Heading 13" xfId="13" xr:uid="{AD7D83BD-4827-4069-9E1B-A2E4FA9E83D4}"/>
    <cellStyle name="Heading 14" xfId="54" xr:uid="{C253DE09-45B8-43BE-82C3-6D83D43EDA71}"/>
    <cellStyle name="Heading 15" xfId="80" xr:uid="{71D19722-58B1-449B-897E-509CA3613F33}"/>
    <cellStyle name="Heading 16" xfId="53" xr:uid="{665BE956-CA45-42C1-A5B8-8B6612629092}"/>
    <cellStyle name="Heading 2" xfId="40" xr:uid="{4EF67890-4B4C-4D76-85B6-410A7A29A2CB}"/>
    <cellStyle name="Heading 2 15" xfId="14" xr:uid="{95343170-153C-4631-8A34-3AE778456839}"/>
    <cellStyle name="Heading 3" xfId="65" xr:uid="{05C22ABD-CC4B-40C8-8780-B71EAB2207B6}"/>
    <cellStyle name="Heading 4" xfId="64" xr:uid="{8E1602EC-8391-4B91-9B7E-6A96149B65EF}"/>
    <cellStyle name="Heading 5" xfId="66" xr:uid="{4A33FB3B-0F8F-4725-B65D-E6F195826D6F}"/>
    <cellStyle name="Heading 6" xfId="63" xr:uid="{DEC802EA-9A46-4128-82C0-93F62AFA5610}"/>
    <cellStyle name="Heading 7" xfId="61" xr:uid="{02104B2B-1907-4B15-893C-E2AC7619DEFF}"/>
    <cellStyle name="Heading 8" xfId="55" xr:uid="{7C5F98F2-67AE-457C-BC81-AD6FE238157D}"/>
    <cellStyle name="Heading 9" xfId="71" xr:uid="{44293001-6B92-42A3-9228-3B8AF44DFFAF}"/>
    <cellStyle name="Heading1" xfId="41" xr:uid="{5ED9E7FD-648B-481D-A433-D0F726F48A1C}"/>
    <cellStyle name="Hyperlink" xfId="42" xr:uid="{662ADD2E-52CF-4ACF-AB1B-C483A412BEEB}"/>
    <cellStyle name="Hyperlink 16" xfId="16" xr:uid="{09F47D0E-02C7-4A60-8DE0-C116D985125F}"/>
    <cellStyle name="Neutral" xfId="43" xr:uid="{3D2E9887-0918-43E3-9386-51FEF77875BB}"/>
    <cellStyle name="Neutral 17" xfId="17" xr:uid="{D4597EE8-A758-4863-AC1D-56FAEA580DAE}"/>
    <cellStyle name="Note" xfId="44" xr:uid="{0080DD79-FA56-449E-9B10-5A6CD1203004}"/>
    <cellStyle name="Note 18" xfId="18" xr:uid="{5B49F623-E9CA-43E0-BC9C-049FF1F138FA}"/>
    <cellStyle name="Result" xfId="19" xr:uid="{80C02BB7-C807-429D-91AE-B31A2AF72412}"/>
    <cellStyle name="Result (user)" xfId="45" xr:uid="{5CFCCD46-B64D-40C1-BD19-EAFC663100E8}"/>
    <cellStyle name="Result 10" xfId="77" xr:uid="{32F78819-0C1C-40DF-B68E-AB12295E0425}"/>
    <cellStyle name="Result 11" xfId="74" xr:uid="{A80F3F74-D6E1-4E31-8188-D1EDAE4E028F}"/>
    <cellStyle name="Result 12" xfId="79" xr:uid="{31AFEBDD-862D-4C96-8C06-E696008EBAD6}"/>
    <cellStyle name="Result 13" xfId="81" xr:uid="{4DD91DEA-FF9C-4390-807B-C1E6AE86EC0C}"/>
    <cellStyle name="Result 14" xfId="56" xr:uid="{5FAFFC7C-268B-43E9-B352-6305B9223D75}"/>
    <cellStyle name="Result 19" xfId="20" xr:uid="{B5230DC2-9330-404D-A93A-082EA6C48A7F}"/>
    <cellStyle name="Result 2" xfId="67" xr:uid="{477E2A1F-4D00-4101-BB17-4118FB3CD31E}"/>
    <cellStyle name="Result 3" xfId="62" xr:uid="{A35D5621-36F6-459C-A9C9-59EF541602BB}"/>
    <cellStyle name="Result 4" xfId="68" xr:uid="{E4171B6C-0969-4732-9967-477475A4C426}"/>
    <cellStyle name="Result 5" xfId="70" xr:uid="{B567DB9C-BC49-4354-816B-629CD2D0725F}"/>
    <cellStyle name="Result 6" xfId="69" xr:uid="{D28BFAF2-7605-4F7E-8626-60EF4EA24580}"/>
    <cellStyle name="Result 7" xfId="57" xr:uid="{EB9FF0B1-B098-4FBF-9C7D-6B3E266F7814}"/>
    <cellStyle name="Result 8" xfId="72" xr:uid="{2F39627F-718E-47B4-A370-61769DA6A558}"/>
    <cellStyle name="Result 9" xfId="76" xr:uid="{DC6389C8-69B3-4A78-BBB2-708E58003A28}"/>
    <cellStyle name="Result2" xfId="46" xr:uid="{B5C84000-F67D-4F41-96C6-12FA30157F81}"/>
    <cellStyle name="Result2 2" xfId="60" xr:uid="{A3AE0DD9-9C56-4D1B-9684-A6949B9FC5B4}"/>
    <cellStyle name="Status" xfId="47" xr:uid="{5DF426E7-3E42-43B3-A3DE-2D04203280A4}"/>
    <cellStyle name="Status 20" xfId="22" xr:uid="{0398BA83-6EC6-43AE-B548-B468AB99C38F}"/>
    <cellStyle name="Text" xfId="48" xr:uid="{51809EDA-C75C-4C83-A5B2-746D9BC76B75}"/>
    <cellStyle name="Text 21" xfId="23" xr:uid="{E49C7FB0-9F6D-4CFB-880E-73824C24F3F1}"/>
    <cellStyle name="Warning" xfId="49" xr:uid="{453FB0DF-E1EE-41FD-8AD0-7F80361B6C76}"/>
    <cellStyle name="Warning 22" xfId="24" xr:uid="{9282C4B7-9D30-4FD9-BB1E-449D9A68D0D8}"/>
    <cellStyle name="ハイパーリンク 2" xfId="59" xr:uid="{B3007F35-6D7C-4E93-981F-75DF9D1E25A5}"/>
    <cellStyle name="ハイパーリンク 3" xfId="52" xr:uid="{E6EA59CD-0315-45BF-983F-39AC19ADCB5F}"/>
    <cellStyle name="ハイパーリンク 4" xfId="27" xr:uid="{E2FC0126-376C-4426-A317-1961B5B1D5F6}"/>
    <cellStyle name="ハイパーリンク 5" xfId="2" xr:uid="{2CAE755C-2C1E-4FDE-A96B-F5868E48B48E}"/>
    <cellStyle name="結果2" xfId="21" xr:uid="{5F58A7CA-09F8-4E3A-A6B1-71728E854BAE}"/>
    <cellStyle name="見出し1" xfId="15" xr:uid="{4A11120A-D57D-4110-BE6F-968CCCF5AE5A}"/>
    <cellStyle name="標準" xfId="0" builtinId="0"/>
    <cellStyle name="標準 2" xfId="25" xr:uid="{466D1019-E99A-4507-A8BA-C9CEAC0E469B}"/>
    <cellStyle name="標準 3" xfId="58" xr:uid="{FAF860BC-E2ED-41AD-BF70-8FC01B20B66D}"/>
    <cellStyle name="標準 4" xfId="51" xr:uid="{D5B1AA38-C1CF-45D7-B6F0-3DAFDBE0213E}"/>
    <cellStyle name="標準 5" xfId="26" xr:uid="{678A7255-C604-454E-B0D3-6BFB7886D23E}"/>
    <cellStyle name="標準 6" xfId="1" xr:uid="{37B52DBB-9CF4-4779-B8E6-1CE58750AF17}"/>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7.emf"/><Relationship Id="rId2" Type="http://schemas.openxmlformats.org/officeDocument/2006/relationships/image" Target="../media/image6.emf"/><Relationship Id="rId1" Type="http://schemas.openxmlformats.org/officeDocument/2006/relationships/image" Target="../media/image5.emf"/></Relationships>
</file>

<file path=xl/drawings/_rels/drawing4.xml.rels><?xml version="1.0" encoding="UTF-8" standalone="yes"?>
<Relationships xmlns="http://schemas.openxmlformats.org/package/2006/relationships"><Relationship Id="rId1" Type="http://schemas.openxmlformats.org/officeDocument/2006/relationships/image" Target="../media/image11.emf"/></Relationships>
</file>

<file path=xl/drawings/_rels/drawing9.xml.rels><?xml version="1.0" encoding="UTF-8" standalone="yes"?>
<Relationships xmlns="http://schemas.openxmlformats.org/package/2006/relationships"><Relationship Id="rId1" Type="http://schemas.openxmlformats.org/officeDocument/2006/relationships/image" Target="../media/image13.emf"/></Relationships>
</file>

<file path=xl/drawings/_rels/drawing11.xml.rels><?xml version="1.0" encoding="UTF-8" standalone="yes"?>
<Relationships xmlns="http://schemas.openxmlformats.org/package/2006/relationships"><Relationship Id="rId1" Type="http://schemas.openxmlformats.org/officeDocument/2006/relationships/image" Target="../media/image15.emf"/></Relationships>
</file>

<file path=xl/drawings/_rels/vmlDrawing1.v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10.emf"/><Relationship Id="rId2" Type="http://schemas.openxmlformats.org/officeDocument/2006/relationships/image" Target="../media/image9.emf"/><Relationship Id="rId1" Type="http://schemas.openxmlformats.org/officeDocument/2006/relationships/image" Target="../media/image8.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4.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0</xdr:rowOff>
    </xdr:from>
    <xdr:to>
      <xdr:col>4</xdr:col>
      <xdr:colOff>0</xdr:colOff>
      <xdr:row>5</xdr:row>
      <xdr:rowOff>0</xdr:rowOff>
    </xdr:to>
    <xdr:sp macro="" textlink="">
      <xdr:nvSpPr>
        <xdr:cNvPr id="2" name="正方形/長方形 1">
          <a:extLst>
            <a:ext uri="{FF2B5EF4-FFF2-40B4-BE49-F238E27FC236}">
              <a16:creationId xmlns:a16="http://schemas.microsoft.com/office/drawing/2014/main" id="{511A66A0-0797-9D4E-8ED6-9F4719E37ABF}"/>
            </a:ext>
          </a:extLst>
        </xdr:cNvPr>
        <xdr:cNvSpPr/>
      </xdr:nvSpPr>
      <xdr:spPr>
        <a:xfrm>
          <a:off x="4114800" y="738188"/>
          <a:ext cx="1371600" cy="4476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備品一覧画面</a:t>
          </a:r>
        </a:p>
      </xdr:txBody>
    </xdr:sp>
    <xdr:clientData/>
  </xdr:twoCellAnchor>
  <xdr:twoCellAnchor>
    <xdr:from>
      <xdr:col>2</xdr:col>
      <xdr:colOff>0</xdr:colOff>
      <xdr:row>10</xdr:row>
      <xdr:rowOff>0</xdr:rowOff>
    </xdr:from>
    <xdr:to>
      <xdr:col>4</xdr:col>
      <xdr:colOff>0</xdr:colOff>
      <xdr:row>12</xdr:row>
      <xdr:rowOff>0</xdr:rowOff>
    </xdr:to>
    <xdr:sp macro="" textlink="">
      <xdr:nvSpPr>
        <xdr:cNvPr id="3" name="正方形/長方形 2">
          <a:extLst>
            <a:ext uri="{FF2B5EF4-FFF2-40B4-BE49-F238E27FC236}">
              <a16:creationId xmlns:a16="http://schemas.microsoft.com/office/drawing/2014/main" id="{EC7662E3-8530-4463-9D2B-AAEE36B56AF3}"/>
            </a:ext>
          </a:extLst>
        </xdr:cNvPr>
        <xdr:cNvSpPr/>
      </xdr:nvSpPr>
      <xdr:spPr>
        <a:xfrm>
          <a:off x="1371600" y="2305050"/>
          <a:ext cx="1371600" cy="4476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備品詳細画面</a:t>
          </a:r>
          <a:endParaRPr kumimoji="1" lang="en-US" altLang="ja-JP" sz="1100"/>
        </a:p>
      </xdr:txBody>
    </xdr:sp>
    <xdr:clientData/>
  </xdr:twoCellAnchor>
  <xdr:twoCellAnchor>
    <xdr:from>
      <xdr:col>3</xdr:col>
      <xdr:colOff>0</xdr:colOff>
      <xdr:row>5</xdr:row>
      <xdr:rowOff>0</xdr:rowOff>
    </xdr:from>
    <xdr:to>
      <xdr:col>3</xdr:col>
      <xdr:colOff>0</xdr:colOff>
      <xdr:row>10</xdr:row>
      <xdr:rowOff>0</xdr:rowOff>
    </xdr:to>
    <xdr:cxnSp macro="">
      <xdr:nvCxnSpPr>
        <xdr:cNvPr id="5" name="直線矢印コネクタ 4">
          <a:extLst>
            <a:ext uri="{FF2B5EF4-FFF2-40B4-BE49-F238E27FC236}">
              <a16:creationId xmlns:a16="http://schemas.microsoft.com/office/drawing/2014/main" id="{6AC878CB-0327-9440-0A29-2B468241F060}"/>
            </a:ext>
          </a:extLst>
        </xdr:cNvPr>
        <xdr:cNvCxnSpPr>
          <a:stCxn id="2" idx="2"/>
          <a:endCxn id="3" idx="0"/>
        </xdr:cNvCxnSpPr>
      </xdr:nvCxnSpPr>
      <xdr:spPr>
        <a:xfrm>
          <a:off x="2057400" y="1185863"/>
          <a:ext cx="0" cy="1119187"/>
        </a:xfrm>
        <a:prstGeom prst="straightConnector1">
          <a:avLst/>
        </a:prstGeom>
        <a:ln>
          <a:headEnd type="triangle"/>
          <a:tailEnd type="triangle"/>
        </a:ln>
      </xdr:spPr>
      <xdr:style>
        <a:lnRef idx="2">
          <a:schemeClr val="dk1"/>
        </a:lnRef>
        <a:fillRef idx="1">
          <a:schemeClr val="lt1"/>
        </a:fillRef>
        <a:effectRef idx="0">
          <a:schemeClr val="dk1"/>
        </a:effectRef>
        <a:fontRef idx="minor">
          <a:schemeClr val="dk1"/>
        </a:fontRef>
      </xdr:style>
    </xdr:cxnSp>
    <xdr:clientData/>
  </xdr:twoCellAnchor>
  <xdr:twoCellAnchor>
    <xdr:from>
      <xdr:col>2</xdr:col>
      <xdr:colOff>0</xdr:colOff>
      <xdr:row>16</xdr:row>
      <xdr:rowOff>0</xdr:rowOff>
    </xdr:from>
    <xdr:to>
      <xdr:col>4</xdr:col>
      <xdr:colOff>0</xdr:colOff>
      <xdr:row>18</xdr:row>
      <xdr:rowOff>0</xdr:rowOff>
    </xdr:to>
    <xdr:sp macro="" textlink="">
      <xdr:nvSpPr>
        <xdr:cNvPr id="6" name="正方形/長方形 5">
          <a:extLst>
            <a:ext uri="{FF2B5EF4-FFF2-40B4-BE49-F238E27FC236}">
              <a16:creationId xmlns:a16="http://schemas.microsoft.com/office/drawing/2014/main" id="{676E2B86-54B0-4315-88DE-D6C101A74813}"/>
            </a:ext>
          </a:extLst>
        </xdr:cNvPr>
        <xdr:cNvSpPr/>
      </xdr:nvSpPr>
      <xdr:spPr>
        <a:xfrm>
          <a:off x="1371600" y="3648075"/>
          <a:ext cx="1371600" cy="4476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備品貸出画面</a:t>
          </a:r>
          <a:endParaRPr kumimoji="1" lang="en-US" altLang="ja-JP" sz="1100"/>
        </a:p>
      </xdr:txBody>
    </xdr:sp>
    <xdr:clientData/>
  </xdr:twoCellAnchor>
  <xdr:twoCellAnchor>
    <xdr:from>
      <xdr:col>3</xdr:col>
      <xdr:colOff>0</xdr:colOff>
      <xdr:row>12</xdr:row>
      <xdr:rowOff>0</xdr:rowOff>
    </xdr:from>
    <xdr:to>
      <xdr:col>3</xdr:col>
      <xdr:colOff>0</xdr:colOff>
      <xdr:row>16</xdr:row>
      <xdr:rowOff>0</xdr:rowOff>
    </xdr:to>
    <xdr:cxnSp macro="">
      <xdr:nvCxnSpPr>
        <xdr:cNvPr id="9" name="直線矢印コネクタ 8">
          <a:extLst>
            <a:ext uri="{FF2B5EF4-FFF2-40B4-BE49-F238E27FC236}">
              <a16:creationId xmlns:a16="http://schemas.microsoft.com/office/drawing/2014/main" id="{1CA99EF3-8E4A-4810-A085-12CF205BCC95}"/>
            </a:ext>
          </a:extLst>
        </xdr:cNvPr>
        <xdr:cNvCxnSpPr>
          <a:stCxn id="3" idx="2"/>
          <a:endCxn id="6" idx="0"/>
        </xdr:cNvCxnSpPr>
      </xdr:nvCxnSpPr>
      <xdr:spPr>
        <a:xfrm>
          <a:off x="2057400" y="2752725"/>
          <a:ext cx="0" cy="895350"/>
        </a:xfrm>
        <a:prstGeom prst="straightConnector1">
          <a:avLst/>
        </a:prstGeom>
        <a:ln>
          <a:headEnd type="triangle"/>
          <a:tailEnd type="triangle"/>
        </a:ln>
      </xdr:spPr>
      <xdr:style>
        <a:lnRef idx="2">
          <a:schemeClr val="dk1"/>
        </a:lnRef>
        <a:fillRef idx="1">
          <a:schemeClr val="lt1"/>
        </a:fillRef>
        <a:effectRef idx="0">
          <a:schemeClr val="dk1"/>
        </a:effectRef>
        <a:fontRef idx="minor">
          <a:schemeClr val="dk1"/>
        </a:fontRef>
      </xdr:style>
    </xdr:cxnSp>
    <xdr:clientData/>
  </xdr:twoCellAnchor>
  <xdr:twoCellAnchor>
    <xdr:from>
      <xdr:col>8</xdr:col>
      <xdr:colOff>280987</xdr:colOff>
      <xdr:row>14</xdr:row>
      <xdr:rowOff>133349</xdr:rowOff>
    </xdr:from>
    <xdr:to>
      <xdr:col>17</xdr:col>
      <xdr:colOff>157163</xdr:colOff>
      <xdr:row>23</xdr:row>
      <xdr:rowOff>80961</xdr:rowOff>
    </xdr:to>
    <xdr:sp macro="" textlink="">
      <xdr:nvSpPr>
        <xdr:cNvPr id="13" name="吹き出し: 四角形 12">
          <a:extLst>
            <a:ext uri="{FF2B5EF4-FFF2-40B4-BE49-F238E27FC236}">
              <a16:creationId xmlns:a16="http://schemas.microsoft.com/office/drawing/2014/main" id="{0048FE8F-7FA5-4001-BB12-1BEAD9607400}"/>
            </a:ext>
          </a:extLst>
        </xdr:cNvPr>
        <xdr:cNvSpPr/>
      </xdr:nvSpPr>
      <xdr:spPr>
        <a:xfrm>
          <a:off x="5767387" y="3333749"/>
          <a:ext cx="6048376" cy="1962150"/>
        </a:xfrm>
        <a:prstGeom prst="wedgeRectCallout">
          <a:avLst>
            <a:gd name="adj1" fmla="val -62135"/>
            <a:gd name="adj2" fmla="val -21967"/>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a:t>＜補足＞</a:t>
          </a:r>
          <a:endParaRPr kumimoji="1" lang="en-US" altLang="ja-JP" sz="1100"/>
        </a:p>
        <a:p>
          <a:pPr algn="l"/>
          <a:r>
            <a:rPr kumimoji="1" lang="ja-JP" altLang="en-US" sz="1100"/>
            <a:t>メニューが無いことや学習目的から備品詳細画面から遷移する形にしている。</a:t>
          </a:r>
          <a:endParaRPr kumimoji="1" lang="en-US" altLang="ja-JP" sz="1100"/>
        </a:p>
        <a:p>
          <a:pPr algn="l"/>
          <a:r>
            <a:rPr kumimoji="1" lang="ja-JP" altLang="en-US" sz="1100"/>
            <a:t>メニュー機能追加後に機能の独立・強化を行う予定。</a:t>
          </a:r>
          <a:endParaRPr kumimoji="1" lang="en-US" altLang="ja-JP" sz="1100"/>
        </a:p>
      </xdr:txBody>
    </xdr:sp>
    <xdr:clientData/>
  </xdr:twoCellAnchor>
  <xdr:twoCellAnchor>
    <xdr:from>
      <xdr:col>5</xdr:col>
      <xdr:colOff>0</xdr:colOff>
      <xdr:row>16</xdr:row>
      <xdr:rowOff>0</xdr:rowOff>
    </xdr:from>
    <xdr:to>
      <xdr:col>7</xdr:col>
      <xdr:colOff>0</xdr:colOff>
      <xdr:row>18</xdr:row>
      <xdr:rowOff>0</xdr:rowOff>
    </xdr:to>
    <xdr:sp macro="" textlink="">
      <xdr:nvSpPr>
        <xdr:cNvPr id="8" name="正方形/長方形 7">
          <a:extLst>
            <a:ext uri="{FF2B5EF4-FFF2-40B4-BE49-F238E27FC236}">
              <a16:creationId xmlns:a16="http://schemas.microsoft.com/office/drawing/2014/main" id="{B1110401-4E39-41CC-BC38-58CC87FEA912}"/>
            </a:ext>
          </a:extLst>
        </xdr:cNvPr>
        <xdr:cNvSpPr/>
      </xdr:nvSpPr>
      <xdr:spPr>
        <a:xfrm>
          <a:off x="3429000" y="3648075"/>
          <a:ext cx="1371600" cy="447675"/>
        </a:xfrm>
        <a:prstGeom prst="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kumimoji="1" lang="ja-JP" altLang="en-US" sz="1100"/>
            <a:t>備品返却画面</a:t>
          </a:r>
          <a:endParaRPr kumimoji="1" lang="en-US" altLang="ja-JP" sz="1100"/>
        </a:p>
      </xdr:txBody>
    </xdr:sp>
    <xdr:clientData/>
  </xdr:twoCellAnchor>
  <xdr:twoCellAnchor>
    <xdr:from>
      <xdr:col>3</xdr:col>
      <xdr:colOff>0</xdr:colOff>
      <xdr:row>12</xdr:row>
      <xdr:rowOff>0</xdr:rowOff>
    </xdr:from>
    <xdr:to>
      <xdr:col>6</xdr:col>
      <xdr:colOff>0</xdr:colOff>
      <xdr:row>16</xdr:row>
      <xdr:rowOff>0</xdr:rowOff>
    </xdr:to>
    <xdr:cxnSp macro="">
      <xdr:nvCxnSpPr>
        <xdr:cNvPr id="14" name="コネクタ: カギ線 13">
          <a:extLst>
            <a:ext uri="{FF2B5EF4-FFF2-40B4-BE49-F238E27FC236}">
              <a16:creationId xmlns:a16="http://schemas.microsoft.com/office/drawing/2014/main" id="{36370371-A5B6-92BA-384B-27F334AA1B09}"/>
            </a:ext>
          </a:extLst>
        </xdr:cNvPr>
        <xdr:cNvCxnSpPr>
          <a:stCxn id="3" idx="2"/>
          <a:endCxn id="8" idx="0"/>
        </xdr:cNvCxnSpPr>
      </xdr:nvCxnSpPr>
      <xdr:spPr>
        <a:xfrm rot="16200000" flipH="1">
          <a:off x="2638425" y="2171700"/>
          <a:ext cx="895350" cy="2057400"/>
        </a:xfrm>
        <a:prstGeom prst="bentConnector3">
          <a:avLst>
            <a:gd name="adj1" fmla="val 50000"/>
          </a:avLst>
        </a:prstGeom>
        <a:ln w="12700">
          <a:headEnd type="triangle"/>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7</xdr:col>
          <xdr:colOff>457200</xdr:colOff>
          <xdr:row>18</xdr:row>
          <xdr:rowOff>28575</xdr:rowOff>
        </xdr:to>
        <xdr:pic>
          <xdr:nvPicPr>
            <xdr:cNvPr id="4" name="図 3">
              <a:extLst>
                <a:ext uri="{FF2B5EF4-FFF2-40B4-BE49-F238E27FC236}">
                  <a16:creationId xmlns:a16="http://schemas.microsoft.com/office/drawing/2014/main" id="{5AEE93A3-3A06-9836-0E3C-53A156B2680A}"/>
                </a:ext>
              </a:extLst>
            </xdr:cNvPr>
            <xdr:cNvPicPr>
              <a:picLocks noChangeAspect="1" noChangeArrowheads="1"/>
              <a:extLst>
                <a:ext uri="{84589F7E-364E-4C9E-8A38-B11213B215E9}">
                  <a14:cameraTool cellRange="備品一覧画面!$C$4:$J$19" spid="_x0000_s14468"/>
                </a:ext>
              </a:extLst>
            </xdr:cNvPicPr>
          </xdr:nvPicPr>
          <xdr:blipFill>
            <a:blip xmlns:r="http://schemas.openxmlformats.org/officeDocument/2006/relationships" r:embed="rId1"/>
            <a:stretch>
              <a:fillRect/>
            </a:stretch>
          </xdr:blipFill>
          <xdr:spPr bwMode="auto">
            <a:xfrm>
              <a:off x="681038" y="514350"/>
              <a:ext cx="3724275" cy="360997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333374</xdr:colOff>
      <xdr:row>5</xdr:row>
      <xdr:rowOff>219075</xdr:rowOff>
    </xdr:from>
    <xdr:to>
      <xdr:col>9</xdr:col>
      <xdr:colOff>3719513</xdr:colOff>
      <xdr:row>14</xdr:row>
      <xdr:rowOff>166688</xdr:rowOff>
    </xdr:to>
    <xdr:sp macro="" textlink="">
      <xdr:nvSpPr>
        <xdr:cNvPr id="5" name="吹き出し: 四角形 4">
          <a:extLst>
            <a:ext uri="{FF2B5EF4-FFF2-40B4-BE49-F238E27FC236}">
              <a16:creationId xmlns:a16="http://schemas.microsoft.com/office/drawing/2014/main" id="{E008DB77-064A-6247-D5E5-458938CF067D}"/>
            </a:ext>
          </a:extLst>
        </xdr:cNvPr>
        <xdr:cNvSpPr/>
      </xdr:nvSpPr>
      <xdr:spPr>
        <a:xfrm>
          <a:off x="4624387" y="1404938"/>
          <a:ext cx="6048376" cy="1962150"/>
        </a:xfrm>
        <a:prstGeom prst="wedgeRectCallout">
          <a:avLst>
            <a:gd name="adj1" fmla="val -62135"/>
            <a:gd name="adj2" fmla="val -21967"/>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a:t>＜画面仕様＞</a:t>
          </a:r>
          <a:endParaRPr kumimoji="1" lang="en-US" altLang="ja-JP" sz="1100"/>
        </a:p>
        <a:p>
          <a:pPr algn="l"/>
          <a:r>
            <a:rPr kumimoji="1" lang="ja-JP" altLang="en-US" sz="1100"/>
            <a:t>・画面表示に収まりきらない場合はスクロールバーを表示してスクロール可能にする。</a:t>
          </a:r>
          <a:endParaRPr kumimoji="1" lang="en-US" altLang="ja-JP" sz="1100"/>
        </a:p>
        <a:p>
          <a:pPr algn="l"/>
          <a:r>
            <a:rPr kumimoji="1" lang="ja-JP" altLang="en-US" sz="1100"/>
            <a:t>・名称をクリックすると詳細画面に遷移する。</a:t>
          </a:r>
          <a:endParaRPr kumimoji="1" lang="en-US" altLang="ja-JP" sz="1100"/>
        </a:p>
      </xdr:txBody>
    </xdr:sp>
    <xdr:clientData/>
  </xdr:twoCellAnchor>
  <xdr:twoCellAnchor>
    <xdr:from>
      <xdr:col>3</xdr:col>
      <xdr:colOff>462455</xdr:colOff>
      <xdr:row>4</xdr:row>
      <xdr:rowOff>32189</xdr:rowOff>
    </xdr:from>
    <xdr:to>
      <xdr:col>4</xdr:col>
      <xdr:colOff>47522</xdr:colOff>
      <xdr:row>5</xdr:row>
      <xdr:rowOff>89339</xdr:rowOff>
    </xdr:to>
    <xdr:sp macro="" textlink="">
      <xdr:nvSpPr>
        <xdr:cNvPr id="6" name="正方形/長方形 5">
          <a:extLst>
            <a:ext uri="{FF2B5EF4-FFF2-40B4-BE49-F238E27FC236}">
              <a16:creationId xmlns:a16="http://schemas.microsoft.com/office/drawing/2014/main" id="{5A99E161-9C58-4AE9-9B0C-FBFFF420BDCE}"/>
            </a:ext>
          </a:extLst>
        </xdr:cNvPr>
        <xdr:cNvSpPr/>
      </xdr:nvSpPr>
      <xdr:spPr>
        <a:xfrm>
          <a:off x="1828800" y="991258"/>
          <a:ext cx="271524" cy="280495"/>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1</a:t>
          </a:r>
          <a:endParaRPr kumimoji="1" lang="ja-JP" altLang="en-US" sz="1100"/>
        </a:p>
      </xdr:txBody>
    </xdr:sp>
    <xdr:clientData/>
  </xdr:twoCellAnchor>
  <xdr:twoCellAnchor>
    <xdr:from>
      <xdr:col>4</xdr:col>
      <xdr:colOff>404812</xdr:colOff>
      <xdr:row>3</xdr:row>
      <xdr:rowOff>170854</xdr:rowOff>
    </xdr:from>
    <xdr:to>
      <xdr:col>4</xdr:col>
      <xdr:colOff>661987</xdr:colOff>
      <xdr:row>5</xdr:row>
      <xdr:rowOff>4166</xdr:rowOff>
    </xdr:to>
    <xdr:sp macro="" textlink="">
      <xdr:nvSpPr>
        <xdr:cNvPr id="7" name="正方形/長方形 6">
          <a:extLst>
            <a:ext uri="{FF2B5EF4-FFF2-40B4-BE49-F238E27FC236}">
              <a16:creationId xmlns:a16="http://schemas.microsoft.com/office/drawing/2014/main" id="{EDB9579F-8FF8-4F94-BB24-053B82BC5FE3}"/>
            </a:ext>
          </a:extLst>
        </xdr:cNvPr>
        <xdr:cNvSpPr/>
      </xdr:nvSpPr>
      <xdr:spPr>
        <a:xfrm>
          <a:off x="2457450" y="909042"/>
          <a:ext cx="257175" cy="280987"/>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2</a:t>
          </a:r>
          <a:endParaRPr kumimoji="1" lang="ja-JP" altLang="en-US" sz="1100"/>
        </a:p>
      </xdr:txBody>
    </xdr:sp>
    <xdr:clientData/>
  </xdr:twoCellAnchor>
  <xdr:twoCellAnchor>
    <xdr:from>
      <xdr:col>4</xdr:col>
      <xdr:colOff>814387</xdr:colOff>
      <xdr:row>3</xdr:row>
      <xdr:rowOff>166092</xdr:rowOff>
    </xdr:from>
    <xdr:to>
      <xdr:col>5</xdr:col>
      <xdr:colOff>170854</xdr:colOff>
      <xdr:row>4</xdr:row>
      <xdr:rowOff>223242</xdr:rowOff>
    </xdr:to>
    <xdr:sp macro="" textlink="">
      <xdr:nvSpPr>
        <xdr:cNvPr id="8" name="正方形/長方形 7">
          <a:extLst>
            <a:ext uri="{FF2B5EF4-FFF2-40B4-BE49-F238E27FC236}">
              <a16:creationId xmlns:a16="http://schemas.microsoft.com/office/drawing/2014/main" id="{B1C07B9F-F808-45AA-9F48-2CAB1128F1CA}"/>
            </a:ext>
          </a:extLst>
        </xdr:cNvPr>
        <xdr:cNvSpPr/>
      </xdr:nvSpPr>
      <xdr:spPr>
        <a:xfrm>
          <a:off x="2867025" y="904280"/>
          <a:ext cx="270867" cy="280987"/>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3</a:t>
          </a:r>
          <a:endParaRPr kumimoji="1" lang="ja-JP" altLang="en-US" sz="1100"/>
        </a:p>
      </xdr:txBody>
    </xdr:sp>
    <xdr:clientData/>
  </xdr:twoCellAnchor>
  <xdr:twoCellAnchor>
    <xdr:from>
      <xdr:col>5</xdr:col>
      <xdr:colOff>286201</xdr:colOff>
      <xdr:row>3</xdr:row>
      <xdr:rowOff>193005</xdr:rowOff>
    </xdr:from>
    <xdr:to>
      <xdr:col>6</xdr:col>
      <xdr:colOff>66531</xdr:colOff>
      <xdr:row>5</xdr:row>
      <xdr:rowOff>26809</xdr:rowOff>
    </xdr:to>
    <xdr:sp macro="" textlink="">
      <xdr:nvSpPr>
        <xdr:cNvPr id="9" name="正方形/長方形 8">
          <a:extLst>
            <a:ext uri="{FF2B5EF4-FFF2-40B4-BE49-F238E27FC236}">
              <a16:creationId xmlns:a16="http://schemas.microsoft.com/office/drawing/2014/main" id="{2EB21666-495D-4149-B23A-59480C5A06F3}"/>
            </a:ext>
          </a:extLst>
        </xdr:cNvPr>
        <xdr:cNvSpPr/>
      </xdr:nvSpPr>
      <xdr:spPr>
        <a:xfrm>
          <a:off x="3253239" y="931193"/>
          <a:ext cx="270867" cy="281479"/>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4</a:t>
          </a:r>
          <a:endParaRPr kumimoji="1" lang="ja-JP" altLang="en-US" sz="1100"/>
        </a:p>
      </xdr:txBody>
    </xdr:sp>
    <xdr:clientData/>
  </xdr:twoCellAnchor>
  <xdr:twoCellAnchor>
    <xdr:from>
      <xdr:col>6</xdr:col>
      <xdr:colOff>130067</xdr:colOff>
      <xdr:row>3</xdr:row>
      <xdr:rowOff>199798</xdr:rowOff>
    </xdr:from>
    <xdr:to>
      <xdr:col>6</xdr:col>
      <xdr:colOff>402084</xdr:colOff>
      <xdr:row>5</xdr:row>
      <xdr:rowOff>33602</xdr:rowOff>
    </xdr:to>
    <xdr:sp macro="" textlink="">
      <xdr:nvSpPr>
        <xdr:cNvPr id="10" name="正方形/長方形 9">
          <a:extLst>
            <a:ext uri="{FF2B5EF4-FFF2-40B4-BE49-F238E27FC236}">
              <a16:creationId xmlns:a16="http://schemas.microsoft.com/office/drawing/2014/main" id="{01652D78-E34F-4BEB-9E00-207B959E8264}"/>
            </a:ext>
          </a:extLst>
        </xdr:cNvPr>
        <xdr:cNvSpPr/>
      </xdr:nvSpPr>
      <xdr:spPr>
        <a:xfrm>
          <a:off x="3587642" y="937986"/>
          <a:ext cx="272017" cy="281479"/>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5</a:t>
          </a:r>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7</xdr:col>
          <xdr:colOff>457200</xdr:colOff>
          <xdr:row>18</xdr:row>
          <xdr:rowOff>31750</xdr:rowOff>
        </xdr:to>
        <xdr:pic>
          <xdr:nvPicPr>
            <xdr:cNvPr id="14446" name="図 3">
              <a:extLst>
                <a:ext uri="{FF2B5EF4-FFF2-40B4-BE49-F238E27FC236}">
                  <a16:creationId xmlns:a16="http://schemas.microsoft.com/office/drawing/2014/main" id="{2F253E8B-20F0-D67F-FFC5-A0646C8821B2}"/>
                </a:ext>
              </a:extLst>
            </xdr:cNvPr>
            <xdr:cNvPicPr>
              <a:picLocks noChangeAspect="1" noChangeArrowheads="1"/>
              <a:extLst>
                <a:ext uri="{84589F7E-364E-4C9E-8A38-B11213B215E9}">
                  <a14:cameraTool cellRange="備品一覧画面!$C$4:$J$19" spid="_x0000_s14469"/>
                </a:ext>
              </a:extLst>
            </xdr:cNvPicPr>
          </xdr:nvPicPr>
          <xdr:blipFill>
            <a:blip xmlns:r="http://schemas.openxmlformats.org/officeDocument/2006/relationships" r:embed="rId2"/>
            <a:srcRect/>
            <a:stretch>
              <a:fillRect/>
            </a:stretch>
          </xdr:blipFill>
          <xdr:spPr bwMode="auto">
            <a:xfrm>
              <a:off x="679450" y="514350"/>
              <a:ext cx="3683000" cy="36893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25</xdr:row>
          <xdr:rowOff>0</xdr:rowOff>
        </xdr:from>
        <xdr:to>
          <xdr:col>44</xdr:col>
          <xdr:colOff>233363</xdr:colOff>
          <xdr:row>40</xdr:row>
          <xdr:rowOff>76201</xdr:rowOff>
        </xdr:to>
        <xdr:pic>
          <xdr:nvPicPr>
            <xdr:cNvPr id="3" name="図 2">
              <a:extLst>
                <a:ext uri="{FF2B5EF4-FFF2-40B4-BE49-F238E27FC236}">
                  <a16:creationId xmlns:a16="http://schemas.microsoft.com/office/drawing/2014/main" id="{2C983689-A8B2-32A0-0924-CA10B00116C3}"/>
                </a:ext>
              </a:extLst>
            </xdr:cNvPr>
            <xdr:cNvPicPr>
              <a:picLocks noChangeAspect="1" noChangeArrowheads="1"/>
              <a:extLst>
                <a:ext uri="{84589F7E-364E-4C9E-8A38-B11213B215E9}">
                  <a14:cameraTool cellRange="'備品詳細画面（パソコン）'!$C$4:$P$18" spid="_x0000_s17720"/>
                </a:ext>
              </a:extLst>
            </xdr:cNvPicPr>
          </xdr:nvPicPr>
          <xdr:blipFill>
            <a:blip xmlns:r="http://schemas.openxmlformats.org/officeDocument/2006/relationships" r:embed="rId1"/>
            <a:stretch>
              <a:fillRect/>
            </a:stretch>
          </xdr:blipFill>
          <xdr:spPr bwMode="auto">
            <a:xfrm>
              <a:off x="542925" y="1409700"/>
              <a:ext cx="11634788" cy="343376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43</xdr:row>
          <xdr:rowOff>0</xdr:rowOff>
        </xdr:from>
        <xdr:to>
          <xdr:col>46</xdr:col>
          <xdr:colOff>209550</xdr:colOff>
          <xdr:row>58</xdr:row>
          <xdr:rowOff>76201</xdr:rowOff>
        </xdr:to>
        <xdr:pic>
          <xdr:nvPicPr>
            <xdr:cNvPr id="4" name="図 3">
              <a:extLst>
                <a:ext uri="{FF2B5EF4-FFF2-40B4-BE49-F238E27FC236}">
                  <a16:creationId xmlns:a16="http://schemas.microsoft.com/office/drawing/2014/main" id="{F68E86DA-E623-2463-8206-F3B21AE5268C}"/>
                </a:ext>
              </a:extLst>
            </xdr:cNvPr>
            <xdr:cNvPicPr>
              <a:picLocks noChangeAspect="1" noChangeArrowheads="1"/>
              <a:extLst>
                <a:ext uri="{84589F7E-364E-4C9E-8A38-B11213B215E9}">
                  <a14:cameraTool cellRange="'備品詳細画面（周辺機器）'!$C$4:$O$18" spid="_x0000_s17721"/>
                </a:ext>
              </a:extLst>
            </xdr:cNvPicPr>
          </xdr:nvPicPr>
          <xdr:blipFill>
            <a:blip xmlns:r="http://schemas.openxmlformats.org/officeDocument/2006/relationships" r:embed="rId2"/>
            <a:stretch>
              <a:fillRect/>
            </a:stretch>
          </xdr:blipFill>
          <xdr:spPr bwMode="auto">
            <a:xfrm>
              <a:off x="542925" y="5438775"/>
              <a:ext cx="12153900" cy="343376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0</xdr:colOff>
          <xdr:row>4</xdr:row>
          <xdr:rowOff>0</xdr:rowOff>
        </xdr:from>
        <xdr:to>
          <xdr:col>33</xdr:col>
          <xdr:colOff>257175</xdr:colOff>
          <xdr:row>19</xdr:row>
          <xdr:rowOff>76200</xdr:rowOff>
        </xdr:to>
        <xdr:pic>
          <xdr:nvPicPr>
            <xdr:cNvPr id="5" name="図 4">
              <a:extLst>
                <a:ext uri="{FF2B5EF4-FFF2-40B4-BE49-F238E27FC236}">
                  <a16:creationId xmlns:a16="http://schemas.microsoft.com/office/drawing/2014/main" id="{B3D5B61F-720E-1BAC-44CE-D5466498956F}"/>
                </a:ext>
              </a:extLst>
            </xdr:cNvPr>
            <xdr:cNvPicPr>
              <a:picLocks noChangeAspect="1" noChangeArrowheads="1"/>
              <a:extLst>
                <a:ext uri="{84589F7E-364E-4C9E-8A38-B11213B215E9}">
                  <a14:cameraTool cellRange="'備品詳細画面（その他）'!$C$4:$L$18" spid="_x0000_s17722"/>
                </a:ext>
              </a:extLst>
            </xdr:cNvPicPr>
          </xdr:nvPicPr>
          <xdr:blipFill>
            <a:blip xmlns:r="http://schemas.openxmlformats.org/officeDocument/2006/relationships" r:embed="rId3"/>
            <a:stretch>
              <a:fillRect/>
            </a:stretch>
          </xdr:blipFill>
          <xdr:spPr bwMode="auto">
            <a:xfrm>
              <a:off x="542925" y="9467850"/>
              <a:ext cx="8672513" cy="34337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8</xdr:col>
          <xdr:colOff>3871912</xdr:colOff>
          <xdr:row>17</xdr:row>
          <xdr:rowOff>19050</xdr:rowOff>
        </xdr:to>
        <xdr:pic>
          <xdr:nvPicPr>
            <xdr:cNvPr id="16" name="図 15">
              <a:extLst>
                <a:ext uri="{FF2B5EF4-FFF2-40B4-BE49-F238E27FC236}">
                  <a16:creationId xmlns:a16="http://schemas.microsoft.com/office/drawing/2014/main" id="{F16A9F71-4B26-04D0-1FB8-B43289895159}"/>
                </a:ext>
              </a:extLst>
            </xdr:cNvPr>
            <xdr:cNvPicPr>
              <a:picLocks noChangeAspect="1" noChangeArrowheads="1"/>
              <a:extLst>
                <a:ext uri="{84589F7E-364E-4C9E-8A38-B11213B215E9}">
                  <a14:cameraTool cellRange="'備品詳細画面（その他）'!$C$4:$L$18" spid="_x0000_s16489"/>
                </a:ext>
              </a:extLst>
            </xdr:cNvPicPr>
          </xdr:nvPicPr>
          <xdr:blipFill>
            <a:blip xmlns:r="http://schemas.openxmlformats.org/officeDocument/2006/relationships" r:embed="rId1"/>
            <a:srcRect/>
            <a:stretch>
              <a:fillRect/>
            </a:stretch>
          </xdr:blipFill>
          <xdr:spPr bwMode="auto">
            <a:xfrm>
              <a:off x="685800" y="514350"/>
              <a:ext cx="8810625" cy="337661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xdr:col>
      <xdr:colOff>1200150</xdr:colOff>
      <xdr:row>4</xdr:row>
      <xdr:rowOff>180976</xdr:rowOff>
    </xdr:from>
    <xdr:to>
      <xdr:col>3</xdr:col>
      <xdr:colOff>266104</xdr:colOff>
      <xdr:row>6</xdr:row>
      <xdr:rowOff>14884</xdr:rowOff>
    </xdr:to>
    <xdr:sp macro="" textlink="">
      <xdr:nvSpPr>
        <xdr:cNvPr id="4" name="正方形/長方形 3">
          <a:extLst>
            <a:ext uri="{FF2B5EF4-FFF2-40B4-BE49-F238E27FC236}">
              <a16:creationId xmlns:a16="http://schemas.microsoft.com/office/drawing/2014/main" id="{5BBA3694-6612-7CC7-AA8E-D91DBD08A2C5}"/>
            </a:ext>
          </a:extLst>
        </xdr:cNvPr>
        <xdr:cNvSpPr/>
      </xdr:nvSpPr>
      <xdr:spPr>
        <a:xfrm>
          <a:off x="2143125" y="1143001"/>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1</a:t>
          </a:r>
          <a:endParaRPr kumimoji="1" lang="ja-JP" altLang="en-US" sz="1100"/>
        </a:p>
      </xdr:txBody>
    </xdr:sp>
    <xdr:clientData/>
  </xdr:twoCellAnchor>
  <xdr:twoCellAnchor editAs="oneCell">
    <xdr:from>
      <xdr:col>3</xdr:col>
      <xdr:colOff>451246</xdr:colOff>
      <xdr:row>6</xdr:row>
      <xdr:rowOff>86320</xdr:rowOff>
    </xdr:from>
    <xdr:to>
      <xdr:col>4</xdr:col>
      <xdr:colOff>194748</xdr:colOff>
      <xdr:row>7</xdr:row>
      <xdr:rowOff>144065</xdr:rowOff>
    </xdr:to>
    <xdr:sp macro="" textlink="">
      <xdr:nvSpPr>
        <xdr:cNvPr id="5" name="正方形/長方形 4">
          <a:extLst>
            <a:ext uri="{FF2B5EF4-FFF2-40B4-BE49-F238E27FC236}">
              <a16:creationId xmlns:a16="http://schemas.microsoft.com/office/drawing/2014/main" id="{14A3509A-23BA-4CCA-AAE0-E290331F770C}"/>
            </a:ext>
          </a:extLst>
        </xdr:cNvPr>
        <xdr:cNvSpPr/>
      </xdr:nvSpPr>
      <xdr:spPr>
        <a:xfrm>
          <a:off x="2599134" y="1496020"/>
          <a:ext cx="26737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2</a:t>
          </a:r>
          <a:endParaRPr kumimoji="1" lang="ja-JP" altLang="en-US" sz="1100"/>
        </a:p>
      </xdr:txBody>
    </xdr:sp>
    <xdr:clientData/>
  </xdr:twoCellAnchor>
  <xdr:twoCellAnchor editAs="oneCell">
    <xdr:from>
      <xdr:col>4</xdr:col>
      <xdr:colOff>380999</xdr:colOff>
      <xdr:row>6</xdr:row>
      <xdr:rowOff>80964</xdr:rowOff>
    </xdr:from>
    <xdr:to>
      <xdr:col>4</xdr:col>
      <xdr:colOff>651866</xdr:colOff>
      <xdr:row>7</xdr:row>
      <xdr:rowOff>138709</xdr:rowOff>
    </xdr:to>
    <xdr:sp macro="" textlink="">
      <xdr:nvSpPr>
        <xdr:cNvPr id="6" name="正方形/長方形 5">
          <a:extLst>
            <a:ext uri="{FF2B5EF4-FFF2-40B4-BE49-F238E27FC236}">
              <a16:creationId xmlns:a16="http://schemas.microsoft.com/office/drawing/2014/main" id="{2550B3E3-E747-1A9F-E2B0-03D61CC53B6F}"/>
            </a:ext>
          </a:extLst>
        </xdr:cNvPr>
        <xdr:cNvSpPr/>
      </xdr:nvSpPr>
      <xdr:spPr>
        <a:xfrm>
          <a:off x="3052762" y="1490664"/>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3</a:t>
          </a:r>
          <a:endParaRPr kumimoji="1" lang="ja-JP" altLang="en-US" sz="1100"/>
        </a:p>
      </xdr:txBody>
    </xdr:sp>
    <xdr:clientData/>
  </xdr:twoCellAnchor>
  <xdr:twoCellAnchor editAs="oneCell">
    <xdr:from>
      <xdr:col>5</xdr:col>
      <xdr:colOff>41077</xdr:colOff>
      <xdr:row>6</xdr:row>
      <xdr:rowOff>73224</xdr:rowOff>
    </xdr:from>
    <xdr:to>
      <xdr:col>5</xdr:col>
      <xdr:colOff>312539</xdr:colOff>
      <xdr:row>7</xdr:row>
      <xdr:rowOff>130969</xdr:rowOff>
    </xdr:to>
    <xdr:sp macro="" textlink="">
      <xdr:nvSpPr>
        <xdr:cNvPr id="7" name="正方形/長方形 6">
          <a:extLst>
            <a:ext uri="{FF2B5EF4-FFF2-40B4-BE49-F238E27FC236}">
              <a16:creationId xmlns:a16="http://schemas.microsoft.com/office/drawing/2014/main" id="{AF272401-A5AF-95BE-DE0E-5D3994413163}"/>
            </a:ext>
          </a:extLst>
        </xdr:cNvPr>
        <xdr:cNvSpPr/>
      </xdr:nvSpPr>
      <xdr:spPr>
        <a:xfrm>
          <a:off x="3627240" y="1482924"/>
          <a:ext cx="271462"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4</a:t>
          </a:r>
          <a:endParaRPr kumimoji="1" lang="ja-JP" altLang="en-US" sz="1100"/>
        </a:p>
      </xdr:txBody>
    </xdr:sp>
    <xdr:clientData/>
  </xdr:twoCellAnchor>
  <xdr:twoCellAnchor editAs="oneCell">
    <xdr:from>
      <xdr:col>6</xdr:col>
      <xdr:colOff>287537</xdr:colOff>
      <xdr:row>6</xdr:row>
      <xdr:rowOff>83344</xdr:rowOff>
    </xdr:from>
    <xdr:to>
      <xdr:col>7</xdr:col>
      <xdr:colOff>67866</xdr:colOff>
      <xdr:row>7</xdr:row>
      <xdr:rowOff>141089</xdr:rowOff>
    </xdr:to>
    <xdr:sp macro="" textlink="">
      <xdr:nvSpPr>
        <xdr:cNvPr id="8" name="正方形/長方形 7">
          <a:extLst>
            <a:ext uri="{FF2B5EF4-FFF2-40B4-BE49-F238E27FC236}">
              <a16:creationId xmlns:a16="http://schemas.microsoft.com/office/drawing/2014/main" id="{C1AAC80A-ED45-D1FD-EA37-4C7B54ABD5FC}"/>
            </a:ext>
          </a:extLst>
        </xdr:cNvPr>
        <xdr:cNvSpPr/>
      </xdr:nvSpPr>
      <xdr:spPr>
        <a:xfrm>
          <a:off x="4364237" y="1493044"/>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5</a:t>
          </a:r>
          <a:endParaRPr kumimoji="1" lang="ja-JP" altLang="en-US" sz="1100"/>
        </a:p>
      </xdr:txBody>
    </xdr:sp>
    <xdr:clientData/>
  </xdr:twoCellAnchor>
  <xdr:twoCellAnchor editAs="oneCell">
    <xdr:from>
      <xdr:col>7</xdr:col>
      <xdr:colOff>620911</xdr:colOff>
      <xdr:row>6</xdr:row>
      <xdr:rowOff>90489</xdr:rowOff>
    </xdr:from>
    <xdr:to>
      <xdr:col>7</xdr:col>
      <xdr:colOff>891778</xdr:colOff>
      <xdr:row>7</xdr:row>
      <xdr:rowOff>148234</xdr:rowOff>
    </xdr:to>
    <xdr:sp macro="" textlink="">
      <xdr:nvSpPr>
        <xdr:cNvPr id="9" name="正方形/長方形 8">
          <a:extLst>
            <a:ext uri="{FF2B5EF4-FFF2-40B4-BE49-F238E27FC236}">
              <a16:creationId xmlns:a16="http://schemas.microsoft.com/office/drawing/2014/main" id="{F53BFA16-E029-48E5-904C-CB7963114293}"/>
            </a:ext>
          </a:extLst>
        </xdr:cNvPr>
        <xdr:cNvSpPr/>
      </xdr:nvSpPr>
      <xdr:spPr>
        <a:xfrm>
          <a:off x="5188149" y="1500189"/>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6</a:t>
          </a:r>
        </a:p>
      </xdr:txBody>
    </xdr:sp>
    <xdr:clientData/>
  </xdr:twoCellAnchor>
  <xdr:twoCellAnchor editAs="oneCell">
    <xdr:from>
      <xdr:col>8</xdr:col>
      <xdr:colOff>2706887</xdr:colOff>
      <xdr:row>6</xdr:row>
      <xdr:rowOff>70844</xdr:rowOff>
    </xdr:from>
    <xdr:to>
      <xdr:col>8</xdr:col>
      <xdr:colOff>2977754</xdr:colOff>
      <xdr:row>7</xdr:row>
      <xdr:rowOff>128589</xdr:rowOff>
    </xdr:to>
    <xdr:sp macro="" textlink="">
      <xdr:nvSpPr>
        <xdr:cNvPr id="11" name="正方形/長方形 10">
          <a:extLst>
            <a:ext uri="{FF2B5EF4-FFF2-40B4-BE49-F238E27FC236}">
              <a16:creationId xmlns:a16="http://schemas.microsoft.com/office/drawing/2014/main" id="{1962C340-84A0-0A41-8F42-945A9283A1CD}"/>
            </a:ext>
          </a:extLst>
        </xdr:cNvPr>
        <xdr:cNvSpPr/>
      </xdr:nvSpPr>
      <xdr:spPr>
        <a:xfrm>
          <a:off x="8331400" y="1480544"/>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8</a:t>
          </a:r>
        </a:p>
      </xdr:txBody>
    </xdr:sp>
    <xdr:clientData/>
  </xdr:twoCellAnchor>
  <xdr:twoCellAnchor editAs="oneCell">
    <xdr:from>
      <xdr:col>8</xdr:col>
      <xdr:colOff>622102</xdr:colOff>
      <xdr:row>6</xdr:row>
      <xdr:rowOff>66676</xdr:rowOff>
    </xdr:from>
    <xdr:to>
      <xdr:col>8</xdr:col>
      <xdr:colOff>892969</xdr:colOff>
      <xdr:row>7</xdr:row>
      <xdr:rowOff>124421</xdr:rowOff>
    </xdr:to>
    <xdr:sp macro="" textlink="">
      <xdr:nvSpPr>
        <xdr:cNvPr id="12" name="正方形/長方形 11">
          <a:extLst>
            <a:ext uri="{FF2B5EF4-FFF2-40B4-BE49-F238E27FC236}">
              <a16:creationId xmlns:a16="http://schemas.microsoft.com/office/drawing/2014/main" id="{E172BE0F-CFAE-8FCE-BB47-7D3F09D17026}"/>
            </a:ext>
          </a:extLst>
        </xdr:cNvPr>
        <xdr:cNvSpPr/>
      </xdr:nvSpPr>
      <xdr:spPr>
        <a:xfrm>
          <a:off x="6246615" y="1476376"/>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7</a:t>
          </a:r>
        </a:p>
      </xdr:txBody>
    </xdr:sp>
    <xdr:clientData/>
  </xdr:twoCellAnchor>
  <xdr:twoCellAnchor>
    <xdr:from>
      <xdr:col>9</xdr:col>
      <xdr:colOff>0</xdr:colOff>
      <xdr:row>7</xdr:row>
      <xdr:rowOff>0</xdr:rowOff>
    </xdr:from>
    <xdr:to>
      <xdr:col>12</xdr:col>
      <xdr:colOff>71438</xdr:colOff>
      <xdr:row>15</xdr:row>
      <xdr:rowOff>171450</xdr:rowOff>
    </xdr:to>
    <xdr:sp macro="" textlink="">
      <xdr:nvSpPr>
        <xdr:cNvPr id="17" name="吹き出し: 四角形 16">
          <a:extLst>
            <a:ext uri="{FF2B5EF4-FFF2-40B4-BE49-F238E27FC236}">
              <a16:creationId xmlns:a16="http://schemas.microsoft.com/office/drawing/2014/main" id="{2D6EF6CB-ED81-4BEB-81F5-4F581275A066}"/>
            </a:ext>
          </a:extLst>
        </xdr:cNvPr>
        <xdr:cNvSpPr/>
      </xdr:nvSpPr>
      <xdr:spPr>
        <a:xfrm>
          <a:off x="9744075" y="1633538"/>
          <a:ext cx="6048376" cy="1962150"/>
        </a:xfrm>
        <a:prstGeom prst="wedgeRectCallout">
          <a:avLst>
            <a:gd name="adj1" fmla="val -62135"/>
            <a:gd name="adj2" fmla="val -21967"/>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a:t>＜画面仕様＞</a:t>
          </a:r>
          <a:endParaRPr kumimoji="1" lang="en-US" altLang="ja-JP" sz="1100"/>
        </a:p>
        <a:p>
          <a:pPr algn="l"/>
          <a:r>
            <a:rPr kumimoji="1" lang="ja-JP" altLang="en-US" sz="1100"/>
            <a:t>・画面表示に収まりきらない場合はスクロールバーを表示してスクロール可能にする。</a:t>
          </a:r>
          <a:endParaRPr kumimoji="0" lang="en-US" altLang="ja-JP" sz="1100" b="0" i="0" u="none" strike="noStrike">
            <a:solidFill>
              <a:schemeClr val="dk1"/>
            </a:solidFill>
            <a:effectLst/>
            <a:latin typeface="+mn-lt"/>
            <a:ea typeface="+mn-ea"/>
            <a:cs typeface="+mn-cs"/>
          </a:endParaRPr>
        </a:p>
      </xdr:txBody>
    </xdr:sp>
    <xdr:clientData/>
  </xdr:twoCellAnchor>
  <xdr:twoCellAnchor editAs="oneCell">
    <xdr:from>
      <xdr:col>8</xdr:col>
      <xdr:colOff>285750</xdr:colOff>
      <xdr:row>15</xdr:row>
      <xdr:rowOff>204787</xdr:rowOff>
    </xdr:from>
    <xdr:to>
      <xdr:col>8</xdr:col>
      <xdr:colOff>556617</xdr:colOff>
      <xdr:row>17</xdr:row>
      <xdr:rowOff>38695</xdr:rowOff>
    </xdr:to>
    <xdr:sp macro="" textlink="">
      <xdr:nvSpPr>
        <xdr:cNvPr id="13" name="正方形/長方形 12">
          <a:extLst>
            <a:ext uri="{FF2B5EF4-FFF2-40B4-BE49-F238E27FC236}">
              <a16:creationId xmlns:a16="http://schemas.microsoft.com/office/drawing/2014/main" id="{2FD8FAFF-9263-4602-8E29-461CF670DC64}"/>
            </a:ext>
          </a:extLst>
        </xdr:cNvPr>
        <xdr:cNvSpPr/>
      </xdr:nvSpPr>
      <xdr:spPr>
        <a:xfrm>
          <a:off x="5910263" y="3629025"/>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9</a:t>
          </a:r>
        </a:p>
      </xdr:txBody>
    </xdr:sp>
    <xdr:clientData/>
  </xdr:twoCellAnchor>
  <xdr:twoCellAnchor editAs="oneCell">
    <xdr:from>
      <xdr:col>8</xdr:col>
      <xdr:colOff>1566862</xdr:colOff>
      <xdr:row>15</xdr:row>
      <xdr:rowOff>219074</xdr:rowOff>
    </xdr:from>
    <xdr:to>
      <xdr:col>8</xdr:col>
      <xdr:colOff>1847850</xdr:colOff>
      <xdr:row>17</xdr:row>
      <xdr:rowOff>52982</xdr:rowOff>
    </xdr:to>
    <xdr:sp macro="" textlink="">
      <xdr:nvSpPr>
        <xdr:cNvPr id="14" name="正方形/長方形 13">
          <a:extLst>
            <a:ext uri="{FF2B5EF4-FFF2-40B4-BE49-F238E27FC236}">
              <a16:creationId xmlns:a16="http://schemas.microsoft.com/office/drawing/2014/main" id="{E421552E-2A07-4227-9E8A-3FDFAA075501}"/>
            </a:ext>
          </a:extLst>
        </xdr:cNvPr>
        <xdr:cNvSpPr/>
      </xdr:nvSpPr>
      <xdr:spPr>
        <a:xfrm>
          <a:off x="7191375" y="3643312"/>
          <a:ext cx="280988"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rIns="36000" rtlCol="0" anchor="ctr"/>
        <a:lstStyle/>
        <a:p>
          <a:pPr algn="ctr"/>
          <a:r>
            <a:rPr kumimoji="1" lang="en-US" altLang="ja-JP" sz="1100"/>
            <a:t>10</a:t>
          </a:r>
        </a:p>
      </xdr:txBody>
    </xdr:sp>
    <xdr:clientData/>
  </xdr:twoCellAnchor>
  <xdr:twoCellAnchor editAs="oneCell">
    <xdr:from>
      <xdr:col>8</xdr:col>
      <xdr:colOff>2852738</xdr:colOff>
      <xdr:row>16</xdr:row>
      <xdr:rowOff>4763</xdr:rowOff>
    </xdr:from>
    <xdr:to>
      <xdr:col>8</xdr:col>
      <xdr:colOff>3133726</xdr:colOff>
      <xdr:row>17</xdr:row>
      <xdr:rowOff>62508</xdr:rowOff>
    </xdr:to>
    <xdr:sp macro="" textlink="">
      <xdr:nvSpPr>
        <xdr:cNvPr id="15" name="正方形/長方形 14">
          <a:extLst>
            <a:ext uri="{FF2B5EF4-FFF2-40B4-BE49-F238E27FC236}">
              <a16:creationId xmlns:a16="http://schemas.microsoft.com/office/drawing/2014/main" id="{8D9854D1-2555-476F-B698-CED057FB2B65}"/>
            </a:ext>
          </a:extLst>
        </xdr:cNvPr>
        <xdr:cNvSpPr/>
      </xdr:nvSpPr>
      <xdr:spPr>
        <a:xfrm>
          <a:off x="8477251" y="3652838"/>
          <a:ext cx="280988"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lIns="36000" rIns="36000" rtlCol="0" anchor="ctr"/>
        <a:lstStyle/>
        <a:p>
          <a:pPr algn="ctr"/>
          <a:r>
            <a:rPr kumimoji="1" lang="en-US" altLang="ja-JP" sz="1100"/>
            <a:t>11</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14</xdr:col>
      <xdr:colOff>0</xdr:colOff>
      <xdr:row>14</xdr:row>
      <xdr:rowOff>0</xdr:rowOff>
    </xdr:from>
    <xdr:to>
      <xdr:col>15</xdr:col>
      <xdr:colOff>0</xdr:colOff>
      <xdr:row>15</xdr:row>
      <xdr:rowOff>0</xdr:rowOff>
    </xdr:to>
    <xdr:sp macro="" textlink="">
      <xdr:nvSpPr>
        <xdr:cNvPr id="3" name="正方形/長方形 2">
          <a:extLst>
            <a:ext uri="{FF2B5EF4-FFF2-40B4-BE49-F238E27FC236}">
              <a16:creationId xmlns:a16="http://schemas.microsoft.com/office/drawing/2014/main" id="{80A598FC-E269-7C1E-460F-CDD2FAF9EB84}"/>
            </a:ext>
          </a:extLst>
        </xdr:cNvPr>
        <xdr:cNvSpPr/>
      </xdr:nvSpPr>
      <xdr:spPr>
        <a:xfrm>
          <a:off x="11620500" y="3267075"/>
          <a:ext cx="147638"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13</xdr:col>
      <xdr:colOff>1181100</xdr:colOff>
      <xdr:row>15</xdr:row>
      <xdr:rowOff>0</xdr:rowOff>
    </xdr:from>
    <xdr:to>
      <xdr:col>14</xdr:col>
      <xdr:colOff>0</xdr:colOff>
      <xdr:row>16</xdr:row>
      <xdr:rowOff>0</xdr:rowOff>
    </xdr:to>
    <xdr:sp macro="" textlink="">
      <xdr:nvSpPr>
        <xdr:cNvPr id="4" name="正方形/長方形 3">
          <a:extLst>
            <a:ext uri="{FF2B5EF4-FFF2-40B4-BE49-F238E27FC236}">
              <a16:creationId xmlns:a16="http://schemas.microsoft.com/office/drawing/2014/main" id="{C3FE9A92-297A-4284-A5D6-014DB5DA530C}"/>
            </a:ext>
          </a:extLst>
        </xdr:cNvPr>
        <xdr:cNvSpPr/>
      </xdr:nvSpPr>
      <xdr:spPr>
        <a:xfrm>
          <a:off x="11449050" y="3490913"/>
          <a:ext cx="171450" cy="176212"/>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3</xdr:col>
      <xdr:colOff>0</xdr:colOff>
      <xdr:row>15</xdr:row>
      <xdr:rowOff>0</xdr:rowOff>
    </xdr:from>
    <xdr:to>
      <xdr:col>3</xdr:col>
      <xdr:colOff>171450</xdr:colOff>
      <xdr:row>16</xdr:row>
      <xdr:rowOff>0</xdr:rowOff>
    </xdr:to>
    <xdr:sp macro="" textlink="">
      <xdr:nvSpPr>
        <xdr:cNvPr id="5" name="正方形/長方形 4">
          <a:extLst>
            <a:ext uri="{FF2B5EF4-FFF2-40B4-BE49-F238E27FC236}">
              <a16:creationId xmlns:a16="http://schemas.microsoft.com/office/drawing/2014/main" id="{12BA538C-2F31-C482-D5E8-CEEE752CB4C7}"/>
            </a:ext>
          </a:extLst>
        </xdr:cNvPr>
        <xdr:cNvSpPr/>
      </xdr:nvSpPr>
      <xdr:spPr>
        <a:xfrm>
          <a:off x="1109663" y="3490913"/>
          <a:ext cx="171450" cy="176212"/>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14</xdr:col>
      <xdr:colOff>0</xdr:colOff>
      <xdr:row>9</xdr:row>
      <xdr:rowOff>4763</xdr:rowOff>
    </xdr:from>
    <xdr:to>
      <xdr:col>15</xdr:col>
      <xdr:colOff>0</xdr:colOff>
      <xdr:row>10</xdr:row>
      <xdr:rowOff>4764</xdr:rowOff>
    </xdr:to>
    <xdr:sp macro="" textlink="">
      <xdr:nvSpPr>
        <xdr:cNvPr id="6" name="正方形/長方形 5">
          <a:extLst>
            <a:ext uri="{FF2B5EF4-FFF2-40B4-BE49-F238E27FC236}">
              <a16:creationId xmlns:a16="http://schemas.microsoft.com/office/drawing/2014/main" id="{2E2131BC-A34A-94A8-CCB3-383D0E312059}"/>
            </a:ext>
          </a:extLst>
        </xdr:cNvPr>
        <xdr:cNvSpPr/>
      </xdr:nvSpPr>
      <xdr:spPr>
        <a:xfrm>
          <a:off x="11620500" y="2152651"/>
          <a:ext cx="147638"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13</xdr:col>
      <xdr:colOff>331732</xdr:colOff>
      <xdr:row>16</xdr:row>
      <xdr:rowOff>109538</xdr:rowOff>
    </xdr:from>
    <xdr:to>
      <xdr:col>14</xdr:col>
      <xdr:colOff>9525</xdr:colOff>
      <xdr:row>17</xdr:row>
      <xdr:rowOff>104775</xdr:rowOff>
    </xdr:to>
    <xdr:sp macro="" textlink="">
      <xdr:nvSpPr>
        <xdr:cNvPr id="7" name="正方形/長方形 6">
          <a:extLst>
            <a:ext uri="{FF2B5EF4-FFF2-40B4-BE49-F238E27FC236}">
              <a16:creationId xmlns:a16="http://schemas.microsoft.com/office/drawing/2014/main" id="{49BCF997-E851-0CF0-490C-748000A7C69D}"/>
            </a:ext>
          </a:extLst>
        </xdr:cNvPr>
        <xdr:cNvSpPr/>
      </xdr:nvSpPr>
      <xdr:spPr>
        <a:xfrm>
          <a:off x="10595741" y="3768452"/>
          <a:ext cx="1031000" cy="218582"/>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一覧に戻る</a:t>
          </a:r>
        </a:p>
      </xdr:txBody>
    </xdr:sp>
    <xdr:clientData/>
  </xdr:twoCellAnchor>
  <xdr:twoCellAnchor>
    <xdr:from>
      <xdr:col>12</xdr:col>
      <xdr:colOff>367862</xdr:colOff>
      <xdr:row>16</xdr:row>
      <xdr:rowOff>108385</xdr:rowOff>
    </xdr:from>
    <xdr:to>
      <xdr:col>13</xdr:col>
      <xdr:colOff>183603</xdr:colOff>
      <xdr:row>17</xdr:row>
      <xdr:rowOff>103622</xdr:rowOff>
    </xdr:to>
    <xdr:sp macro="" textlink="">
      <xdr:nvSpPr>
        <xdr:cNvPr id="8" name="正方形/長方形 7">
          <a:extLst>
            <a:ext uri="{FF2B5EF4-FFF2-40B4-BE49-F238E27FC236}">
              <a16:creationId xmlns:a16="http://schemas.microsoft.com/office/drawing/2014/main" id="{2602917D-C180-4318-946E-A4681B0B9475}"/>
            </a:ext>
          </a:extLst>
        </xdr:cNvPr>
        <xdr:cNvSpPr/>
      </xdr:nvSpPr>
      <xdr:spPr>
        <a:xfrm>
          <a:off x="9416612" y="3767299"/>
          <a:ext cx="1031000" cy="218582"/>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返却</a:t>
          </a:r>
        </a:p>
      </xdr:txBody>
    </xdr:sp>
    <xdr:clientData/>
  </xdr:twoCellAnchor>
  <xdr:twoCellAnchor>
    <xdr:from>
      <xdr:col>10</xdr:col>
      <xdr:colOff>490537</xdr:colOff>
      <xdr:row>16</xdr:row>
      <xdr:rowOff>109537</xdr:rowOff>
    </xdr:from>
    <xdr:to>
      <xdr:col>12</xdr:col>
      <xdr:colOff>253890</xdr:colOff>
      <xdr:row>17</xdr:row>
      <xdr:rowOff>104774</xdr:rowOff>
    </xdr:to>
    <xdr:sp macro="" textlink="">
      <xdr:nvSpPr>
        <xdr:cNvPr id="9" name="正方形/長方形 8">
          <a:extLst>
            <a:ext uri="{FF2B5EF4-FFF2-40B4-BE49-F238E27FC236}">
              <a16:creationId xmlns:a16="http://schemas.microsoft.com/office/drawing/2014/main" id="{230358C8-5102-4CDE-A8BC-14A9771E5484}"/>
            </a:ext>
          </a:extLst>
        </xdr:cNvPr>
        <xdr:cNvSpPr/>
      </xdr:nvSpPr>
      <xdr:spPr>
        <a:xfrm>
          <a:off x="8277225" y="3776662"/>
          <a:ext cx="1030178" cy="219075"/>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貸出</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13</xdr:col>
      <xdr:colOff>0</xdr:colOff>
      <xdr:row>14</xdr:row>
      <xdr:rowOff>0</xdr:rowOff>
    </xdr:from>
    <xdr:to>
      <xdr:col>14</xdr:col>
      <xdr:colOff>0</xdr:colOff>
      <xdr:row>15</xdr:row>
      <xdr:rowOff>0</xdr:rowOff>
    </xdr:to>
    <xdr:sp macro="" textlink="">
      <xdr:nvSpPr>
        <xdr:cNvPr id="2" name="正方形/長方形 1">
          <a:extLst>
            <a:ext uri="{FF2B5EF4-FFF2-40B4-BE49-F238E27FC236}">
              <a16:creationId xmlns:a16="http://schemas.microsoft.com/office/drawing/2014/main" id="{F70AE5BB-5212-4FF2-B815-84E3D5C835A0}"/>
            </a:ext>
          </a:extLst>
        </xdr:cNvPr>
        <xdr:cNvSpPr/>
      </xdr:nvSpPr>
      <xdr:spPr>
        <a:xfrm>
          <a:off x="11620500" y="3267075"/>
          <a:ext cx="147638"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13</xdr:col>
      <xdr:colOff>0</xdr:colOff>
      <xdr:row>9</xdr:row>
      <xdr:rowOff>4763</xdr:rowOff>
    </xdr:from>
    <xdr:to>
      <xdr:col>14</xdr:col>
      <xdr:colOff>0</xdr:colOff>
      <xdr:row>10</xdr:row>
      <xdr:rowOff>4764</xdr:rowOff>
    </xdr:to>
    <xdr:sp macro="" textlink="">
      <xdr:nvSpPr>
        <xdr:cNvPr id="3" name="正方形/長方形 2">
          <a:extLst>
            <a:ext uri="{FF2B5EF4-FFF2-40B4-BE49-F238E27FC236}">
              <a16:creationId xmlns:a16="http://schemas.microsoft.com/office/drawing/2014/main" id="{E924CA5F-55D7-419F-A269-47D38F74C4E8}"/>
            </a:ext>
          </a:extLst>
        </xdr:cNvPr>
        <xdr:cNvSpPr/>
      </xdr:nvSpPr>
      <xdr:spPr>
        <a:xfrm>
          <a:off x="12139613" y="2152651"/>
          <a:ext cx="147637"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3</xdr:col>
      <xdr:colOff>0</xdr:colOff>
      <xdr:row>15</xdr:row>
      <xdr:rowOff>0</xdr:rowOff>
    </xdr:from>
    <xdr:to>
      <xdr:col>3</xdr:col>
      <xdr:colOff>171450</xdr:colOff>
      <xdr:row>16</xdr:row>
      <xdr:rowOff>0</xdr:rowOff>
    </xdr:to>
    <xdr:sp macro="" textlink="">
      <xdr:nvSpPr>
        <xdr:cNvPr id="4" name="正方形/長方形 3">
          <a:extLst>
            <a:ext uri="{FF2B5EF4-FFF2-40B4-BE49-F238E27FC236}">
              <a16:creationId xmlns:a16="http://schemas.microsoft.com/office/drawing/2014/main" id="{EA8EE79A-E820-4B60-B225-214C3727179C}"/>
            </a:ext>
          </a:extLst>
        </xdr:cNvPr>
        <xdr:cNvSpPr/>
      </xdr:nvSpPr>
      <xdr:spPr>
        <a:xfrm>
          <a:off x="1109663" y="3490913"/>
          <a:ext cx="171450" cy="176212"/>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12</xdr:col>
      <xdr:colOff>1181100</xdr:colOff>
      <xdr:row>15</xdr:row>
      <xdr:rowOff>0</xdr:rowOff>
    </xdr:from>
    <xdr:to>
      <xdr:col>13</xdr:col>
      <xdr:colOff>0</xdr:colOff>
      <xdr:row>16</xdr:row>
      <xdr:rowOff>0</xdr:rowOff>
    </xdr:to>
    <xdr:sp macro="" textlink="">
      <xdr:nvSpPr>
        <xdr:cNvPr id="5" name="正方形/長方形 4">
          <a:extLst>
            <a:ext uri="{FF2B5EF4-FFF2-40B4-BE49-F238E27FC236}">
              <a16:creationId xmlns:a16="http://schemas.microsoft.com/office/drawing/2014/main" id="{600A113D-1751-4E05-8414-07A500DC5A40}"/>
            </a:ext>
          </a:extLst>
        </xdr:cNvPr>
        <xdr:cNvSpPr/>
      </xdr:nvSpPr>
      <xdr:spPr>
        <a:xfrm>
          <a:off x="11968163" y="3490913"/>
          <a:ext cx="171450" cy="176212"/>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12</xdr:col>
      <xdr:colOff>319088</xdr:colOff>
      <xdr:row>16</xdr:row>
      <xdr:rowOff>100013</xdr:rowOff>
    </xdr:from>
    <xdr:to>
      <xdr:col>12</xdr:col>
      <xdr:colOff>1350088</xdr:colOff>
      <xdr:row>17</xdr:row>
      <xdr:rowOff>94757</xdr:rowOff>
    </xdr:to>
    <xdr:sp macro="" textlink="">
      <xdr:nvSpPr>
        <xdr:cNvPr id="6" name="正方形/長方形 5">
          <a:extLst>
            <a:ext uri="{FF2B5EF4-FFF2-40B4-BE49-F238E27FC236}">
              <a16:creationId xmlns:a16="http://schemas.microsoft.com/office/drawing/2014/main" id="{2A7D9310-96EB-46FD-BD78-BCBA33A21FA0}"/>
            </a:ext>
          </a:extLst>
        </xdr:cNvPr>
        <xdr:cNvSpPr/>
      </xdr:nvSpPr>
      <xdr:spPr>
        <a:xfrm>
          <a:off x="11106151" y="3767138"/>
          <a:ext cx="1031000" cy="218582"/>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一覧に戻る</a:t>
          </a:r>
        </a:p>
      </xdr:txBody>
    </xdr:sp>
    <xdr:clientData/>
  </xdr:twoCellAnchor>
  <xdr:twoCellAnchor>
    <xdr:from>
      <xdr:col>11</xdr:col>
      <xdr:colOff>361950</xdr:colOff>
      <xdr:row>16</xdr:row>
      <xdr:rowOff>100014</xdr:rowOff>
    </xdr:from>
    <xdr:to>
      <xdr:col>12</xdr:col>
      <xdr:colOff>178512</xdr:colOff>
      <xdr:row>17</xdr:row>
      <xdr:rowOff>94758</xdr:rowOff>
    </xdr:to>
    <xdr:sp macro="" textlink="">
      <xdr:nvSpPr>
        <xdr:cNvPr id="7" name="正方形/長方形 6">
          <a:extLst>
            <a:ext uri="{FF2B5EF4-FFF2-40B4-BE49-F238E27FC236}">
              <a16:creationId xmlns:a16="http://schemas.microsoft.com/office/drawing/2014/main" id="{08D5B1EF-0DC7-441E-9848-86796C491B19}"/>
            </a:ext>
          </a:extLst>
        </xdr:cNvPr>
        <xdr:cNvSpPr/>
      </xdr:nvSpPr>
      <xdr:spPr>
        <a:xfrm>
          <a:off x="9934575" y="3767139"/>
          <a:ext cx="1031000" cy="218582"/>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返却</a:t>
          </a:r>
        </a:p>
      </xdr:txBody>
    </xdr:sp>
    <xdr:clientData/>
  </xdr:twoCellAnchor>
  <xdr:twoCellAnchor>
    <xdr:from>
      <xdr:col>9</xdr:col>
      <xdr:colOff>1785938</xdr:colOff>
      <xdr:row>16</xdr:row>
      <xdr:rowOff>95250</xdr:rowOff>
    </xdr:from>
    <xdr:to>
      <xdr:col>11</xdr:col>
      <xdr:colOff>240426</xdr:colOff>
      <xdr:row>17</xdr:row>
      <xdr:rowOff>89994</xdr:rowOff>
    </xdr:to>
    <xdr:sp macro="" textlink="">
      <xdr:nvSpPr>
        <xdr:cNvPr id="8" name="正方形/長方形 7">
          <a:extLst>
            <a:ext uri="{FF2B5EF4-FFF2-40B4-BE49-F238E27FC236}">
              <a16:creationId xmlns:a16="http://schemas.microsoft.com/office/drawing/2014/main" id="{7671716C-37A7-4C76-B83D-9532737318B1}"/>
            </a:ext>
          </a:extLst>
        </xdr:cNvPr>
        <xdr:cNvSpPr/>
      </xdr:nvSpPr>
      <xdr:spPr>
        <a:xfrm>
          <a:off x="8782051" y="3762375"/>
          <a:ext cx="1031000" cy="218582"/>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貸出</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10</xdr:col>
      <xdr:colOff>0</xdr:colOff>
      <xdr:row>14</xdr:row>
      <xdr:rowOff>0</xdr:rowOff>
    </xdr:from>
    <xdr:to>
      <xdr:col>11</xdr:col>
      <xdr:colOff>0</xdr:colOff>
      <xdr:row>15</xdr:row>
      <xdr:rowOff>0</xdr:rowOff>
    </xdr:to>
    <xdr:sp macro="" textlink="">
      <xdr:nvSpPr>
        <xdr:cNvPr id="2" name="正方形/長方形 1">
          <a:extLst>
            <a:ext uri="{FF2B5EF4-FFF2-40B4-BE49-F238E27FC236}">
              <a16:creationId xmlns:a16="http://schemas.microsoft.com/office/drawing/2014/main" id="{49FFDBF7-368C-47CF-A2DB-905482F0886C}"/>
            </a:ext>
          </a:extLst>
        </xdr:cNvPr>
        <xdr:cNvSpPr/>
      </xdr:nvSpPr>
      <xdr:spPr>
        <a:xfrm>
          <a:off x="12139613" y="3267075"/>
          <a:ext cx="147637"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10</xdr:col>
      <xdr:colOff>0</xdr:colOff>
      <xdr:row>9</xdr:row>
      <xdr:rowOff>4763</xdr:rowOff>
    </xdr:from>
    <xdr:to>
      <xdr:col>11</xdr:col>
      <xdr:colOff>0</xdr:colOff>
      <xdr:row>10</xdr:row>
      <xdr:rowOff>4764</xdr:rowOff>
    </xdr:to>
    <xdr:sp macro="" textlink="">
      <xdr:nvSpPr>
        <xdr:cNvPr id="3" name="正方形/長方形 2">
          <a:extLst>
            <a:ext uri="{FF2B5EF4-FFF2-40B4-BE49-F238E27FC236}">
              <a16:creationId xmlns:a16="http://schemas.microsoft.com/office/drawing/2014/main" id="{AD76766A-E3C4-4103-B7D1-C650F333C3C9}"/>
            </a:ext>
          </a:extLst>
        </xdr:cNvPr>
        <xdr:cNvSpPr/>
      </xdr:nvSpPr>
      <xdr:spPr>
        <a:xfrm>
          <a:off x="8658225" y="2152651"/>
          <a:ext cx="147638"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3</xdr:col>
      <xdr:colOff>0</xdr:colOff>
      <xdr:row>15</xdr:row>
      <xdr:rowOff>0</xdr:rowOff>
    </xdr:from>
    <xdr:to>
      <xdr:col>3</xdr:col>
      <xdr:colOff>116225</xdr:colOff>
      <xdr:row>16</xdr:row>
      <xdr:rowOff>0</xdr:rowOff>
    </xdr:to>
    <xdr:sp macro="" textlink="">
      <xdr:nvSpPr>
        <xdr:cNvPr id="4" name="正方形/長方形 3">
          <a:extLst>
            <a:ext uri="{FF2B5EF4-FFF2-40B4-BE49-F238E27FC236}">
              <a16:creationId xmlns:a16="http://schemas.microsoft.com/office/drawing/2014/main" id="{3CABCE22-C3E5-4412-8B4B-5B90B2DD4B79}"/>
            </a:ext>
          </a:extLst>
        </xdr:cNvPr>
        <xdr:cNvSpPr/>
      </xdr:nvSpPr>
      <xdr:spPr>
        <a:xfrm>
          <a:off x="1109663" y="3490913"/>
          <a:ext cx="116225" cy="176212"/>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9</xdr:col>
      <xdr:colOff>1555412</xdr:colOff>
      <xdr:row>15</xdr:row>
      <xdr:rowOff>0</xdr:rowOff>
    </xdr:from>
    <xdr:to>
      <xdr:col>10</xdr:col>
      <xdr:colOff>0</xdr:colOff>
      <xdr:row>16</xdr:row>
      <xdr:rowOff>0</xdr:rowOff>
    </xdr:to>
    <xdr:sp macro="" textlink="">
      <xdr:nvSpPr>
        <xdr:cNvPr id="5" name="正方形/長方形 4">
          <a:extLst>
            <a:ext uri="{FF2B5EF4-FFF2-40B4-BE49-F238E27FC236}">
              <a16:creationId xmlns:a16="http://schemas.microsoft.com/office/drawing/2014/main" id="{45A0CCBA-BBAB-3E16-DF91-AF14CE928B56}"/>
            </a:ext>
          </a:extLst>
        </xdr:cNvPr>
        <xdr:cNvSpPr/>
      </xdr:nvSpPr>
      <xdr:spPr>
        <a:xfrm>
          <a:off x="8542000" y="3490913"/>
          <a:ext cx="116225" cy="176212"/>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9</xdr:col>
      <xdr:colOff>638175</xdr:colOff>
      <xdr:row>16</xdr:row>
      <xdr:rowOff>123825</xdr:rowOff>
    </xdr:from>
    <xdr:to>
      <xdr:col>9</xdr:col>
      <xdr:colOff>1669175</xdr:colOff>
      <xdr:row>17</xdr:row>
      <xdr:rowOff>118569</xdr:rowOff>
    </xdr:to>
    <xdr:sp macro="" textlink="">
      <xdr:nvSpPr>
        <xdr:cNvPr id="6" name="正方形/長方形 5">
          <a:extLst>
            <a:ext uri="{FF2B5EF4-FFF2-40B4-BE49-F238E27FC236}">
              <a16:creationId xmlns:a16="http://schemas.microsoft.com/office/drawing/2014/main" id="{9701A763-F316-403B-A7AB-F8A827A8E272}"/>
            </a:ext>
          </a:extLst>
        </xdr:cNvPr>
        <xdr:cNvSpPr/>
      </xdr:nvSpPr>
      <xdr:spPr>
        <a:xfrm>
          <a:off x="7624763" y="3790950"/>
          <a:ext cx="1031000" cy="218582"/>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一覧に戻る</a:t>
          </a:r>
        </a:p>
      </xdr:txBody>
    </xdr:sp>
    <xdr:clientData/>
  </xdr:twoCellAnchor>
  <xdr:twoCellAnchor>
    <xdr:from>
      <xdr:col>8</xdr:col>
      <xdr:colOff>542925</xdr:colOff>
      <xdr:row>16</xdr:row>
      <xdr:rowOff>128587</xdr:rowOff>
    </xdr:from>
    <xdr:to>
      <xdr:col>9</xdr:col>
      <xdr:colOff>502362</xdr:colOff>
      <xdr:row>17</xdr:row>
      <xdr:rowOff>123331</xdr:rowOff>
    </xdr:to>
    <xdr:sp macro="" textlink="">
      <xdr:nvSpPr>
        <xdr:cNvPr id="7" name="正方形/長方形 6">
          <a:extLst>
            <a:ext uri="{FF2B5EF4-FFF2-40B4-BE49-F238E27FC236}">
              <a16:creationId xmlns:a16="http://schemas.microsoft.com/office/drawing/2014/main" id="{86F8D991-C28F-4C0E-8EEC-4CC9B82692E4}"/>
            </a:ext>
          </a:extLst>
        </xdr:cNvPr>
        <xdr:cNvSpPr/>
      </xdr:nvSpPr>
      <xdr:spPr>
        <a:xfrm>
          <a:off x="6457950" y="3795712"/>
          <a:ext cx="1031000" cy="218582"/>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返却</a:t>
          </a:r>
        </a:p>
      </xdr:txBody>
    </xdr:sp>
    <xdr:clientData/>
  </xdr:twoCellAnchor>
  <xdr:twoCellAnchor>
    <xdr:from>
      <xdr:col>7</xdr:col>
      <xdr:colOff>233362</xdr:colOff>
      <xdr:row>16</xdr:row>
      <xdr:rowOff>123825</xdr:rowOff>
    </xdr:from>
    <xdr:to>
      <xdr:col>8</xdr:col>
      <xdr:colOff>440450</xdr:colOff>
      <xdr:row>17</xdr:row>
      <xdr:rowOff>118569</xdr:rowOff>
    </xdr:to>
    <xdr:sp macro="" textlink="">
      <xdr:nvSpPr>
        <xdr:cNvPr id="8" name="正方形/長方形 7">
          <a:extLst>
            <a:ext uri="{FF2B5EF4-FFF2-40B4-BE49-F238E27FC236}">
              <a16:creationId xmlns:a16="http://schemas.microsoft.com/office/drawing/2014/main" id="{62BC3E0A-EE10-4F27-8034-0D2508182574}"/>
            </a:ext>
          </a:extLst>
        </xdr:cNvPr>
        <xdr:cNvSpPr/>
      </xdr:nvSpPr>
      <xdr:spPr>
        <a:xfrm>
          <a:off x="5324475" y="3790950"/>
          <a:ext cx="1031000" cy="218582"/>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貸出</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9</xdr:col>
      <xdr:colOff>0</xdr:colOff>
      <xdr:row>14</xdr:row>
      <xdr:rowOff>0</xdr:rowOff>
    </xdr:from>
    <xdr:to>
      <xdr:col>10</xdr:col>
      <xdr:colOff>0</xdr:colOff>
      <xdr:row>15</xdr:row>
      <xdr:rowOff>0</xdr:rowOff>
    </xdr:to>
    <xdr:sp macro="" textlink="">
      <xdr:nvSpPr>
        <xdr:cNvPr id="2" name="正方形/長方形 1">
          <a:extLst>
            <a:ext uri="{FF2B5EF4-FFF2-40B4-BE49-F238E27FC236}">
              <a16:creationId xmlns:a16="http://schemas.microsoft.com/office/drawing/2014/main" id="{818ADE87-76C1-4EF9-80E9-83AC7765DB95}"/>
            </a:ext>
          </a:extLst>
        </xdr:cNvPr>
        <xdr:cNvSpPr/>
      </xdr:nvSpPr>
      <xdr:spPr>
        <a:xfrm>
          <a:off x="8658225" y="3267075"/>
          <a:ext cx="147638"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9</xdr:col>
      <xdr:colOff>0</xdr:colOff>
      <xdr:row>9</xdr:row>
      <xdr:rowOff>4763</xdr:rowOff>
    </xdr:from>
    <xdr:to>
      <xdr:col>10</xdr:col>
      <xdr:colOff>0</xdr:colOff>
      <xdr:row>10</xdr:row>
      <xdr:rowOff>4764</xdr:rowOff>
    </xdr:to>
    <xdr:sp macro="" textlink="">
      <xdr:nvSpPr>
        <xdr:cNvPr id="3" name="正方形/長方形 2">
          <a:extLst>
            <a:ext uri="{FF2B5EF4-FFF2-40B4-BE49-F238E27FC236}">
              <a16:creationId xmlns:a16="http://schemas.microsoft.com/office/drawing/2014/main" id="{A218AD95-82BC-4E05-8347-1086501977E8}"/>
            </a:ext>
          </a:extLst>
        </xdr:cNvPr>
        <xdr:cNvSpPr/>
      </xdr:nvSpPr>
      <xdr:spPr>
        <a:xfrm>
          <a:off x="8658225" y="2152651"/>
          <a:ext cx="147638"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3</xdr:col>
      <xdr:colOff>0</xdr:colOff>
      <xdr:row>15</xdr:row>
      <xdr:rowOff>0</xdr:rowOff>
    </xdr:from>
    <xdr:to>
      <xdr:col>3</xdr:col>
      <xdr:colOff>116225</xdr:colOff>
      <xdr:row>16</xdr:row>
      <xdr:rowOff>0</xdr:rowOff>
    </xdr:to>
    <xdr:sp macro="" textlink="">
      <xdr:nvSpPr>
        <xdr:cNvPr id="4" name="正方形/長方形 3">
          <a:extLst>
            <a:ext uri="{FF2B5EF4-FFF2-40B4-BE49-F238E27FC236}">
              <a16:creationId xmlns:a16="http://schemas.microsoft.com/office/drawing/2014/main" id="{A7826674-AFA1-401F-B2E3-FAB604413391}"/>
            </a:ext>
          </a:extLst>
        </xdr:cNvPr>
        <xdr:cNvSpPr/>
      </xdr:nvSpPr>
      <xdr:spPr>
        <a:xfrm>
          <a:off x="1109663" y="3490913"/>
          <a:ext cx="116225" cy="176212"/>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8</xdr:col>
      <xdr:colOff>707686</xdr:colOff>
      <xdr:row>15</xdr:row>
      <xdr:rowOff>0</xdr:rowOff>
    </xdr:from>
    <xdr:to>
      <xdr:col>9</xdr:col>
      <xdr:colOff>0</xdr:colOff>
      <xdr:row>16</xdr:row>
      <xdr:rowOff>0</xdr:rowOff>
    </xdr:to>
    <xdr:sp macro="" textlink="">
      <xdr:nvSpPr>
        <xdr:cNvPr id="5" name="正方形/長方形 4">
          <a:extLst>
            <a:ext uri="{FF2B5EF4-FFF2-40B4-BE49-F238E27FC236}">
              <a16:creationId xmlns:a16="http://schemas.microsoft.com/office/drawing/2014/main" id="{39A0BA9C-B8CB-4C87-A3AE-33F61F26729D}"/>
            </a:ext>
          </a:extLst>
        </xdr:cNvPr>
        <xdr:cNvSpPr/>
      </xdr:nvSpPr>
      <xdr:spPr>
        <a:xfrm>
          <a:off x="8294349" y="3490913"/>
          <a:ext cx="116226" cy="176212"/>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7</xdr:col>
      <xdr:colOff>1615294</xdr:colOff>
      <xdr:row>16</xdr:row>
      <xdr:rowOff>123825</xdr:rowOff>
    </xdr:from>
    <xdr:to>
      <xdr:col>10</xdr:col>
      <xdr:colOff>0</xdr:colOff>
      <xdr:row>17</xdr:row>
      <xdr:rowOff>118569</xdr:rowOff>
    </xdr:to>
    <xdr:sp macro="" textlink="">
      <xdr:nvSpPr>
        <xdr:cNvPr id="10" name="正方形/長方形 9">
          <a:extLst>
            <a:ext uri="{FF2B5EF4-FFF2-40B4-BE49-F238E27FC236}">
              <a16:creationId xmlns:a16="http://schemas.microsoft.com/office/drawing/2014/main" id="{DAAEDA0A-4468-07FD-F974-3F3AEB8A9603}"/>
            </a:ext>
          </a:extLst>
        </xdr:cNvPr>
        <xdr:cNvSpPr/>
      </xdr:nvSpPr>
      <xdr:spPr>
        <a:xfrm>
          <a:off x="7529077" y="3788880"/>
          <a:ext cx="1031000" cy="218374"/>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戻る</a:t>
          </a:r>
        </a:p>
      </xdr:txBody>
    </xdr:sp>
    <xdr:clientData/>
  </xdr:twoCellAnchor>
  <xdr:twoCellAnchor>
    <xdr:from>
      <xdr:col>9</xdr:col>
      <xdr:colOff>0</xdr:colOff>
      <xdr:row>34</xdr:row>
      <xdr:rowOff>0</xdr:rowOff>
    </xdr:from>
    <xdr:to>
      <xdr:col>10</xdr:col>
      <xdr:colOff>0</xdr:colOff>
      <xdr:row>35</xdr:row>
      <xdr:rowOff>0</xdr:rowOff>
    </xdr:to>
    <xdr:sp macro="" textlink="">
      <xdr:nvSpPr>
        <xdr:cNvPr id="13" name="正方形/長方形 12">
          <a:extLst>
            <a:ext uri="{FF2B5EF4-FFF2-40B4-BE49-F238E27FC236}">
              <a16:creationId xmlns:a16="http://schemas.microsoft.com/office/drawing/2014/main" id="{D7B826E9-C431-4B30-9ED2-0C80AB6847D8}"/>
            </a:ext>
          </a:extLst>
        </xdr:cNvPr>
        <xdr:cNvSpPr/>
      </xdr:nvSpPr>
      <xdr:spPr>
        <a:xfrm>
          <a:off x="9234488" y="3267075"/>
          <a:ext cx="147637"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9</xdr:col>
      <xdr:colOff>0</xdr:colOff>
      <xdr:row>29</xdr:row>
      <xdr:rowOff>4763</xdr:rowOff>
    </xdr:from>
    <xdr:to>
      <xdr:col>10</xdr:col>
      <xdr:colOff>0</xdr:colOff>
      <xdr:row>30</xdr:row>
      <xdr:rowOff>4764</xdr:rowOff>
    </xdr:to>
    <xdr:sp macro="" textlink="">
      <xdr:nvSpPr>
        <xdr:cNvPr id="14" name="正方形/長方形 13">
          <a:extLst>
            <a:ext uri="{FF2B5EF4-FFF2-40B4-BE49-F238E27FC236}">
              <a16:creationId xmlns:a16="http://schemas.microsoft.com/office/drawing/2014/main" id="{0AC6E1CD-0046-443F-9E49-4BDAA51452FB}"/>
            </a:ext>
          </a:extLst>
        </xdr:cNvPr>
        <xdr:cNvSpPr/>
      </xdr:nvSpPr>
      <xdr:spPr>
        <a:xfrm>
          <a:off x="9234488" y="2152651"/>
          <a:ext cx="147637"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3</xdr:col>
      <xdr:colOff>0</xdr:colOff>
      <xdr:row>35</xdr:row>
      <xdr:rowOff>0</xdr:rowOff>
    </xdr:from>
    <xdr:to>
      <xdr:col>3</xdr:col>
      <xdr:colOff>116225</xdr:colOff>
      <xdr:row>36</xdr:row>
      <xdr:rowOff>0</xdr:rowOff>
    </xdr:to>
    <xdr:sp macro="" textlink="">
      <xdr:nvSpPr>
        <xdr:cNvPr id="15" name="正方形/長方形 14">
          <a:extLst>
            <a:ext uri="{FF2B5EF4-FFF2-40B4-BE49-F238E27FC236}">
              <a16:creationId xmlns:a16="http://schemas.microsoft.com/office/drawing/2014/main" id="{C075BAB3-2BA0-49B8-8C81-DE21FFE737BF}"/>
            </a:ext>
          </a:extLst>
        </xdr:cNvPr>
        <xdr:cNvSpPr/>
      </xdr:nvSpPr>
      <xdr:spPr>
        <a:xfrm>
          <a:off x="1109663" y="3490913"/>
          <a:ext cx="116225" cy="176212"/>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8</xdr:col>
      <xdr:colOff>707686</xdr:colOff>
      <xdr:row>35</xdr:row>
      <xdr:rowOff>0</xdr:rowOff>
    </xdr:from>
    <xdr:to>
      <xdr:col>9</xdr:col>
      <xdr:colOff>0</xdr:colOff>
      <xdr:row>36</xdr:row>
      <xdr:rowOff>0</xdr:rowOff>
    </xdr:to>
    <xdr:sp macro="" textlink="">
      <xdr:nvSpPr>
        <xdr:cNvPr id="16" name="正方形/長方形 15">
          <a:extLst>
            <a:ext uri="{FF2B5EF4-FFF2-40B4-BE49-F238E27FC236}">
              <a16:creationId xmlns:a16="http://schemas.microsoft.com/office/drawing/2014/main" id="{2604E10A-E256-4B23-BFBE-805343FEBD89}"/>
            </a:ext>
          </a:extLst>
        </xdr:cNvPr>
        <xdr:cNvSpPr/>
      </xdr:nvSpPr>
      <xdr:spPr>
        <a:xfrm>
          <a:off x="9118261" y="3490913"/>
          <a:ext cx="116227" cy="176212"/>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7</xdr:col>
      <xdr:colOff>1615294</xdr:colOff>
      <xdr:row>36</xdr:row>
      <xdr:rowOff>123825</xdr:rowOff>
    </xdr:from>
    <xdr:to>
      <xdr:col>10</xdr:col>
      <xdr:colOff>0</xdr:colOff>
      <xdr:row>37</xdr:row>
      <xdr:rowOff>118569</xdr:rowOff>
    </xdr:to>
    <xdr:sp macro="" textlink="">
      <xdr:nvSpPr>
        <xdr:cNvPr id="18" name="正方形/長方形 17">
          <a:extLst>
            <a:ext uri="{FF2B5EF4-FFF2-40B4-BE49-F238E27FC236}">
              <a16:creationId xmlns:a16="http://schemas.microsoft.com/office/drawing/2014/main" id="{8C015D15-A11D-4163-BFCB-4E92AF84E430}"/>
            </a:ext>
          </a:extLst>
        </xdr:cNvPr>
        <xdr:cNvSpPr/>
      </xdr:nvSpPr>
      <xdr:spPr>
        <a:xfrm>
          <a:off x="8354232" y="3790950"/>
          <a:ext cx="1027893" cy="218582"/>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戻る</a:t>
          </a:r>
        </a:p>
      </xdr:txBody>
    </xdr:sp>
    <xdr:clientData/>
  </xdr:twoCellAnchor>
  <xdr:twoCellAnchor>
    <xdr:from>
      <xdr:col>4</xdr:col>
      <xdr:colOff>1273097</xdr:colOff>
      <xdr:row>30</xdr:row>
      <xdr:rowOff>4142</xdr:rowOff>
    </xdr:from>
    <xdr:to>
      <xdr:col>5</xdr:col>
      <xdr:colOff>0</xdr:colOff>
      <xdr:row>31</xdr:row>
      <xdr:rowOff>1</xdr:rowOff>
    </xdr:to>
    <xdr:sp macro="" textlink="">
      <xdr:nvSpPr>
        <xdr:cNvPr id="19" name="正方形/長方形 18">
          <a:extLst>
            <a:ext uri="{FF2B5EF4-FFF2-40B4-BE49-F238E27FC236}">
              <a16:creationId xmlns:a16="http://schemas.microsoft.com/office/drawing/2014/main" id="{89864B36-E8E9-44D9-985C-7F710B389A06}"/>
            </a:ext>
          </a:extLst>
        </xdr:cNvPr>
        <xdr:cNvSpPr/>
      </xdr:nvSpPr>
      <xdr:spPr>
        <a:xfrm>
          <a:off x="4330622" y="2375867"/>
          <a:ext cx="179466" cy="219697"/>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1276350</xdr:colOff>
      <xdr:row>31</xdr:row>
      <xdr:rowOff>0</xdr:rowOff>
    </xdr:from>
    <xdr:to>
      <xdr:col>5</xdr:col>
      <xdr:colOff>0</xdr:colOff>
      <xdr:row>37</xdr:row>
      <xdr:rowOff>0</xdr:rowOff>
    </xdr:to>
    <xdr:sp macro="" textlink="">
      <xdr:nvSpPr>
        <xdr:cNvPr id="20" name="正方形/長方形 19">
          <a:extLst>
            <a:ext uri="{FF2B5EF4-FFF2-40B4-BE49-F238E27FC236}">
              <a16:creationId xmlns:a16="http://schemas.microsoft.com/office/drawing/2014/main" id="{B98B0953-3B7B-90ED-7198-BF129A1E2E53}"/>
            </a:ext>
          </a:extLst>
        </xdr:cNvPr>
        <xdr:cNvSpPr/>
      </xdr:nvSpPr>
      <xdr:spPr>
        <a:xfrm>
          <a:off x="4337957" y="7075714"/>
          <a:ext cx="176893" cy="134982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4</xdr:col>
      <xdr:colOff>1276350</xdr:colOff>
      <xdr:row>31</xdr:row>
      <xdr:rowOff>0</xdr:rowOff>
    </xdr:from>
    <xdr:to>
      <xdr:col>5</xdr:col>
      <xdr:colOff>0</xdr:colOff>
      <xdr:row>32</xdr:row>
      <xdr:rowOff>0</xdr:rowOff>
    </xdr:to>
    <xdr:sp macro="" textlink="">
      <xdr:nvSpPr>
        <xdr:cNvPr id="21" name="正方形/長方形 20">
          <a:extLst>
            <a:ext uri="{FF2B5EF4-FFF2-40B4-BE49-F238E27FC236}">
              <a16:creationId xmlns:a16="http://schemas.microsoft.com/office/drawing/2014/main" id="{900A8D69-0282-4DA4-B16C-4109DFE77972}"/>
            </a:ext>
          </a:extLst>
        </xdr:cNvPr>
        <xdr:cNvSpPr/>
      </xdr:nvSpPr>
      <xdr:spPr>
        <a:xfrm>
          <a:off x="4337957" y="7081157"/>
          <a:ext cx="176893" cy="223157"/>
        </a:xfrm>
        <a:prstGeom prst="rect">
          <a:avLst/>
        </a:prstGeom>
        <a:solidFill>
          <a:schemeClr val="bg1">
            <a:lumMod val="8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4</xdr:col>
      <xdr:colOff>1276350</xdr:colOff>
      <xdr:row>36</xdr:row>
      <xdr:rowOff>0</xdr:rowOff>
    </xdr:from>
    <xdr:to>
      <xdr:col>5</xdr:col>
      <xdr:colOff>0</xdr:colOff>
      <xdr:row>36</xdr:row>
      <xdr:rowOff>223157</xdr:rowOff>
    </xdr:to>
    <xdr:sp macro="" textlink="">
      <xdr:nvSpPr>
        <xdr:cNvPr id="22" name="正方形/長方形 21">
          <a:extLst>
            <a:ext uri="{FF2B5EF4-FFF2-40B4-BE49-F238E27FC236}">
              <a16:creationId xmlns:a16="http://schemas.microsoft.com/office/drawing/2014/main" id="{47CE69D8-B5AF-4D4D-A94A-14D8CFA7E912}"/>
            </a:ext>
          </a:extLst>
        </xdr:cNvPr>
        <xdr:cNvSpPr/>
      </xdr:nvSpPr>
      <xdr:spPr>
        <a:xfrm>
          <a:off x="4337957" y="8196943"/>
          <a:ext cx="176893" cy="223157"/>
        </a:xfrm>
        <a:prstGeom prst="rect">
          <a:avLst/>
        </a:prstGeom>
        <a:solidFill>
          <a:schemeClr val="bg1">
            <a:lumMod val="85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9</xdr:col>
      <xdr:colOff>0</xdr:colOff>
      <xdr:row>53</xdr:row>
      <xdr:rowOff>0</xdr:rowOff>
    </xdr:from>
    <xdr:to>
      <xdr:col>10</xdr:col>
      <xdr:colOff>0</xdr:colOff>
      <xdr:row>54</xdr:row>
      <xdr:rowOff>0</xdr:rowOff>
    </xdr:to>
    <xdr:sp macro="" textlink="">
      <xdr:nvSpPr>
        <xdr:cNvPr id="23" name="正方形/長方形 22">
          <a:extLst>
            <a:ext uri="{FF2B5EF4-FFF2-40B4-BE49-F238E27FC236}">
              <a16:creationId xmlns:a16="http://schemas.microsoft.com/office/drawing/2014/main" id="{38449C36-339F-484D-B1D0-52244166B970}"/>
            </a:ext>
          </a:extLst>
        </xdr:cNvPr>
        <xdr:cNvSpPr/>
      </xdr:nvSpPr>
      <xdr:spPr>
        <a:xfrm>
          <a:off x="9235109" y="7760804"/>
          <a:ext cx="149087" cy="223631"/>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9</xdr:col>
      <xdr:colOff>0</xdr:colOff>
      <xdr:row>48</xdr:row>
      <xdr:rowOff>4763</xdr:rowOff>
    </xdr:from>
    <xdr:to>
      <xdr:col>10</xdr:col>
      <xdr:colOff>0</xdr:colOff>
      <xdr:row>49</xdr:row>
      <xdr:rowOff>4764</xdr:rowOff>
    </xdr:to>
    <xdr:sp macro="" textlink="">
      <xdr:nvSpPr>
        <xdr:cNvPr id="24" name="正方形/長方形 23">
          <a:extLst>
            <a:ext uri="{FF2B5EF4-FFF2-40B4-BE49-F238E27FC236}">
              <a16:creationId xmlns:a16="http://schemas.microsoft.com/office/drawing/2014/main" id="{0EF69116-775C-4DAA-AEFE-103DE47F0FCB}"/>
            </a:ext>
          </a:extLst>
        </xdr:cNvPr>
        <xdr:cNvSpPr/>
      </xdr:nvSpPr>
      <xdr:spPr>
        <a:xfrm>
          <a:off x="9235109" y="6643274"/>
          <a:ext cx="149087" cy="223632"/>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3</xdr:col>
      <xdr:colOff>0</xdr:colOff>
      <xdr:row>54</xdr:row>
      <xdr:rowOff>0</xdr:rowOff>
    </xdr:from>
    <xdr:to>
      <xdr:col>3</xdr:col>
      <xdr:colOff>116225</xdr:colOff>
      <xdr:row>55</xdr:row>
      <xdr:rowOff>0</xdr:rowOff>
    </xdr:to>
    <xdr:sp macro="" textlink="">
      <xdr:nvSpPr>
        <xdr:cNvPr id="25" name="正方形/長方形 24">
          <a:extLst>
            <a:ext uri="{FF2B5EF4-FFF2-40B4-BE49-F238E27FC236}">
              <a16:creationId xmlns:a16="http://schemas.microsoft.com/office/drawing/2014/main" id="{923E0100-13E7-49E7-B036-A4AAE349CFCA}"/>
            </a:ext>
          </a:extLst>
        </xdr:cNvPr>
        <xdr:cNvSpPr/>
      </xdr:nvSpPr>
      <xdr:spPr>
        <a:xfrm>
          <a:off x="1109870" y="7984435"/>
          <a:ext cx="116225" cy="223630"/>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8</xdr:col>
      <xdr:colOff>707686</xdr:colOff>
      <xdr:row>54</xdr:row>
      <xdr:rowOff>0</xdr:rowOff>
    </xdr:from>
    <xdr:to>
      <xdr:col>9</xdr:col>
      <xdr:colOff>0</xdr:colOff>
      <xdr:row>55</xdr:row>
      <xdr:rowOff>0</xdr:rowOff>
    </xdr:to>
    <xdr:sp macro="" textlink="">
      <xdr:nvSpPr>
        <xdr:cNvPr id="26" name="正方形/長方形 25">
          <a:extLst>
            <a:ext uri="{FF2B5EF4-FFF2-40B4-BE49-F238E27FC236}">
              <a16:creationId xmlns:a16="http://schemas.microsoft.com/office/drawing/2014/main" id="{FAA02863-8BBF-4E1A-807F-E59BFD573DAE}"/>
            </a:ext>
          </a:extLst>
        </xdr:cNvPr>
        <xdr:cNvSpPr/>
      </xdr:nvSpPr>
      <xdr:spPr>
        <a:xfrm>
          <a:off x="9118676" y="7984435"/>
          <a:ext cx="116433" cy="223630"/>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7</xdr:col>
      <xdr:colOff>1615294</xdr:colOff>
      <xdr:row>55</xdr:row>
      <xdr:rowOff>123825</xdr:rowOff>
    </xdr:from>
    <xdr:to>
      <xdr:col>10</xdr:col>
      <xdr:colOff>0</xdr:colOff>
      <xdr:row>56</xdr:row>
      <xdr:rowOff>118569</xdr:rowOff>
    </xdr:to>
    <xdr:sp macro="" textlink="">
      <xdr:nvSpPr>
        <xdr:cNvPr id="28" name="正方形/長方形 27">
          <a:extLst>
            <a:ext uri="{FF2B5EF4-FFF2-40B4-BE49-F238E27FC236}">
              <a16:creationId xmlns:a16="http://schemas.microsoft.com/office/drawing/2014/main" id="{77DDC0AC-DD81-4501-B611-991996E4C73A}"/>
            </a:ext>
          </a:extLst>
        </xdr:cNvPr>
        <xdr:cNvSpPr/>
      </xdr:nvSpPr>
      <xdr:spPr>
        <a:xfrm>
          <a:off x="8353197" y="8331890"/>
          <a:ext cx="1030999" cy="222516"/>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戻る</a:t>
          </a:r>
        </a:p>
      </xdr:txBody>
    </xdr:sp>
    <xdr:clientData/>
  </xdr:twoCellAnchor>
  <xdr:twoCellAnchor>
    <xdr:from>
      <xdr:col>4</xdr:col>
      <xdr:colOff>1273097</xdr:colOff>
      <xdr:row>49</xdr:row>
      <xdr:rowOff>4142</xdr:rowOff>
    </xdr:from>
    <xdr:to>
      <xdr:col>5</xdr:col>
      <xdr:colOff>0</xdr:colOff>
      <xdr:row>50</xdr:row>
      <xdr:rowOff>1</xdr:rowOff>
    </xdr:to>
    <xdr:sp macro="" textlink="">
      <xdr:nvSpPr>
        <xdr:cNvPr id="29" name="正方形/長方形 28">
          <a:extLst>
            <a:ext uri="{FF2B5EF4-FFF2-40B4-BE49-F238E27FC236}">
              <a16:creationId xmlns:a16="http://schemas.microsoft.com/office/drawing/2014/main" id="{915C5301-3A77-4554-BB37-03EA00A73493}"/>
            </a:ext>
          </a:extLst>
        </xdr:cNvPr>
        <xdr:cNvSpPr/>
      </xdr:nvSpPr>
      <xdr:spPr>
        <a:xfrm>
          <a:off x="4329380" y="6866284"/>
          <a:ext cx="180501" cy="223630"/>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49</xdr:row>
      <xdr:rowOff>4142</xdr:rowOff>
    </xdr:from>
    <xdr:to>
      <xdr:col>5</xdr:col>
      <xdr:colOff>0</xdr:colOff>
      <xdr:row>50</xdr:row>
      <xdr:rowOff>1</xdr:rowOff>
    </xdr:to>
    <xdr:sp macro="" textlink="">
      <xdr:nvSpPr>
        <xdr:cNvPr id="33" name="正方形/長方形 32">
          <a:extLst>
            <a:ext uri="{FF2B5EF4-FFF2-40B4-BE49-F238E27FC236}">
              <a16:creationId xmlns:a16="http://schemas.microsoft.com/office/drawing/2014/main" id="{6CFC20AB-B2DC-419B-B44E-365391AA7001}"/>
            </a:ext>
          </a:extLst>
        </xdr:cNvPr>
        <xdr:cNvSpPr/>
      </xdr:nvSpPr>
      <xdr:spPr>
        <a:xfrm>
          <a:off x="4329380" y="2372968"/>
          <a:ext cx="180501" cy="219490"/>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9</xdr:col>
      <xdr:colOff>0</xdr:colOff>
      <xdr:row>71</xdr:row>
      <xdr:rowOff>0</xdr:rowOff>
    </xdr:from>
    <xdr:to>
      <xdr:col>10</xdr:col>
      <xdr:colOff>0</xdr:colOff>
      <xdr:row>72</xdr:row>
      <xdr:rowOff>0</xdr:rowOff>
    </xdr:to>
    <xdr:sp macro="" textlink="">
      <xdr:nvSpPr>
        <xdr:cNvPr id="35" name="正方形/長方形 34">
          <a:extLst>
            <a:ext uri="{FF2B5EF4-FFF2-40B4-BE49-F238E27FC236}">
              <a16:creationId xmlns:a16="http://schemas.microsoft.com/office/drawing/2014/main" id="{F79E9F69-1162-4878-857F-9426C8D3DC54}"/>
            </a:ext>
          </a:extLst>
        </xdr:cNvPr>
        <xdr:cNvSpPr/>
      </xdr:nvSpPr>
      <xdr:spPr>
        <a:xfrm>
          <a:off x="9235109" y="12080185"/>
          <a:ext cx="149087" cy="223631"/>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9</xdr:col>
      <xdr:colOff>0</xdr:colOff>
      <xdr:row>67</xdr:row>
      <xdr:rowOff>4763</xdr:rowOff>
    </xdr:from>
    <xdr:to>
      <xdr:col>10</xdr:col>
      <xdr:colOff>0</xdr:colOff>
      <xdr:row>68</xdr:row>
      <xdr:rowOff>0</xdr:rowOff>
    </xdr:to>
    <xdr:sp macro="" textlink="">
      <xdr:nvSpPr>
        <xdr:cNvPr id="36" name="正方形/長方形 35">
          <a:extLst>
            <a:ext uri="{FF2B5EF4-FFF2-40B4-BE49-F238E27FC236}">
              <a16:creationId xmlns:a16="http://schemas.microsoft.com/office/drawing/2014/main" id="{B4AB5C4D-EEEE-43A3-8733-FB4E66B7ACEC}"/>
            </a:ext>
          </a:extLst>
        </xdr:cNvPr>
        <xdr:cNvSpPr/>
      </xdr:nvSpPr>
      <xdr:spPr>
        <a:xfrm>
          <a:off x="9235109" y="10966796"/>
          <a:ext cx="149087" cy="223631"/>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3</xdr:col>
      <xdr:colOff>0</xdr:colOff>
      <xdr:row>72</xdr:row>
      <xdr:rowOff>0</xdr:rowOff>
    </xdr:from>
    <xdr:to>
      <xdr:col>3</xdr:col>
      <xdr:colOff>116225</xdr:colOff>
      <xdr:row>73</xdr:row>
      <xdr:rowOff>0</xdr:rowOff>
    </xdr:to>
    <xdr:sp macro="" textlink="">
      <xdr:nvSpPr>
        <xdr:cNvPr id="37" name="正方形/長方形 36">
          <a:extLst>
            <a:ext uri="{FF2B5EF4-FFF2-40B4-BE49-F238E27FC236}">
              <a16:creationId xmlns:a16="http://schemas.microsoft.com/office/drawing/2014/main" id="{62980CE7-D53E-4495-B21C-80A18E10817A}"/>
            </a:ext>
          </a:extLst>
        </xdr:cNvPr>
        <xdr:cNvSpPr/>
      </xdr:nvSpPr>
      <xdr:spPr>
        <a:xfrm>
          <a:off x="1109870" y="12303816"/>
          <a:ext cx="116225" cy="223630"/>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8</xdr:col>
      <xdr:colOff>707686</xdr:colOff>
      <xdr:row>72</xdr:row>
      <xdr:rowOff>0</xdr:rowOff>
    </xdr:from>
    <xdr:to>
      <xdr:col>9</xdr:col>
      <xdr:colOff>0</xdr:colOff>
      <xdr:row>73</xdr:row>
      <xdr:rowOff>0</xdr:rowOff>
    </xdr:to>
    <xdr:sp macro="" textlink="">
      <xdr:nvSpPr>
        <xdr:cNvPr id="38" name="正方形/長方形 37">
          <a:extLst>
            <a:ext uri="{FF2B5EF4-FFF2-40B4-BE49-F238E27FC236}">
              <a16:creationId xmlns:a16="http://schemas.microsoft.com/office/drawing/2014/main" id="{DB929D78-49E4-4F17-BEEE-77B250D08704}"/>
            </a:ext>
          </a:extLst>
        </xdr:cNvPr>
        <xdr:cNvSpPr/>
      </xdr:nvSpPr>
      <xdr:spPr>
        <a:xfrm>
          <a:off x="9118676" y="12303816"/>
          <a:ext cx="116433" cy="223630"/>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7</xdr:col>
      <xdr:colOff>1615294</xdr:colOff>
      <xdr:row>73</xdr:row>
      <xdr:rowOff>123825</xdr:rowOff>
    </xdr:from>
    <xdr:to>
      <xdr:col>10</xdr:col>
      <xdr:colOff>0</xdr:colOff>
      <xdr:row>74</xdr:row>
      <xdr:rowOff>118569</xdr:rowOff>
    </xdr:to>
    <xdr:sp macro="" textlink="">
      <xdr:nvSpPr>
        <xdr:cNvPr id="40" name="正方形/長方形 39">
          <a:extLst>
            <a:ext uri="{FF2B5EF4-FFF2-40B4-BE49-F238E27FC236}">
              <a16:creationId xmlns:a16="http://schemas.microsoft.com/office/drawing/2014/main" id="{4E53614D-CB0C-4B5F-9A3C-1B7EC6801080}"/>
            </a:ext>
          </a:extLst>
        </xdr:cNvPr>
        <xdr:cNvSpPr/>
      </xdr:nvSpPr>
      <xdr:spPr>
        <a:xfrm>
          <a:off x="8353197" y="12651271"/>
          <a:ext cx="1030999" cy="218375"/>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戻る</a:t>
          </a:r>
        </a:p>
      </xdr:txBody>
    </xdr:sp>
    <xdr:clientData/>
  </xdr:twoCellAnchor>
  <xdr:twoCellAnchor>
    <xdr:from>
      <xdr:col>4</xdr:col>
      <xdr:colOff>1273097</xdr:colOff>
      <xdr:row>9</xdr:row>
      <xdr:rowOff>4142</xdr:rowOff>
    </xdr:from>
    <xdr:to>
      <xdr:col>5</xdr:col>
      <xdr:colOff>0</xdr:colOff>
      <xdr:row>10</xdr:row>
      <xdr:rowOff>1</xdr:rowOff>
    </xdr:to>
    <xdr:sp macro="" textlink="">
      <xdr:nvSpPr>
        <xdr:cNvPr id="45" name="正方形/長方形 44">
          <a:extLst>
            <a:ext uri="{FF2B5EF4-FFF2-40B4-BE49-F238E27FC236}">
              <a16:creationId xmlns:a16="http://schemas.microsoft.com/office/drawing/2014/main" id="{5E16136B-69D7-4D2F-82CB-70A964880586}"/>
            </a:ext>
          </a:extLst>
        </xdr:cNvPr>
        <xdr:cNvSpPr/>
      </xdr:nvSpPr>
      <xdr:spPr>
        <a:xfrm>
          <a:off x="4329380" y="2372968"/>
          <a:ext cx="180501" cy="219490"/>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10</xdr:row>
      <xdr:rowOff>4142</xdr:rowOff>
    </xdr:from>
    <xdr:to>
      <xdr:col>5</xdr:col>
      <xdr:colOff>0</xdr:colOff>
      <xdr:row>11</xdr:row>
      <xdr:rowOff>1</xdr:rowOff>
    </xdr:to>
    <xdr:sp macro="" textlink="">
      <xdr:nvSpPr>
        <xdr:cNvPr id="47" name="正方形/長方形 46">
          <a:extLst>
            <a:ext uri="{FF2B5EF4-FFF2-40B4-BE49-F238E27FC236}">
              <a16:creationId xmlns:a16="http://schemas.microsoft.com/office/drawing/2014/main" id="{2C1EFC13-959A-46BD-B129-612244CAA861}"/>
            </a:ext>
          </a:extLst>
        </xdr:cNvPr>
        <xdr:cNvSpPr/>
      </xdr:nvSpPr>
      <xdr:spPr>
        <a:xfrm>
          <a:off x="4329380" y="2149338"/>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11</xdr:row>
      <xdr:rowOff>4142</xdr:rowOff>
    </xdr:from>
    <xdr:to>
      <xdr:col>5</xdr:col>
      <xdr:colOff>0</xdr:colOff>
      <xdr:row>12</xdr:row>
      <xdr:rowOff>1</xdr:rowOff>
    </xdr:to>
    <xdr:sp macro="" textlink="">
      <xdr:nvSpPr>
        <xdr:cNvPr id="49" name="正方形/長方形 48">
          <a:extLst>
            <a:ext uri="{FF2B5EF4-FFF2-40B4-BE49-F238E27FC236}">
              <a16:creationId xmlns:a16="http://schemas.microsoft.com/office/drawing/2014/main" id="{BD735C4F-3BF2-434B-8DB6-E77F57F9E408}"/>
            </a:ext>
          </a:extLst>
        </xdr:cNvPr>
        <xdr:cNvSpPr/>
      </xdr:nvSpPr>
      <xdr:spPr>
        <a:xfrm>
          <a:off x="4329380" y="2149338"/>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12</xdr:row>
      <xdr:rowOff>4142</xdr:rowOff>
    </xdr:from>
    <xdr:to>
      <xdr:col>5</xdr:col>
      <xdr:colOff>0</xdr:colOff>
      <xdr:row>13</xdr:row>
      <xdr:rowOff>1</xdr:rowOff>
    </xdr:to>
    <xdr:sp macro="" textlink="">
      <xdr:nvSpPr>
        <xdr:cNvPr id="51" name="正方形/長方形 50">
          <a:extLst>
            <a:ext uri="{FF2B5EF4-FFF2-40B4-BE49-F238E27FC236}">
              <a16:creationId xmlns:a16="http://schemas.microsoft.com/office/drawing/2014/main" id="{0B200A46-64D4-4FD2-BA4A-43ED70A97B89}"/>
            </a:ext>
          </a:extLst>
        </xdr:cNvPr>
        <xdr:cNvSpPr/>
      </xdr:nvSpPr>
      <xdr:spPr>
        <a:xfrm>
          <a:off x="4329380" y="2149338"/>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13</xdr:row>
      <xdr:rowOff>4142</xdr:rowOff>
    </xdr:from>
    <xdr:to>
      <xdr:col>5</xdr:col>
      <xdr:colOff>0</xdr:colOff>
      <xdr:row>14</xdr:row>
      <xdr:rowOff>1</xdr:rowOff>
    </xdr:to>
    <xdr:sp macro="" textlink="">
      <xdr:nvSpPr>
        <xdr:cNvPr id="53" name="正方形/長方形 52">
          <a:extLst>
            <a:ext uri="{FF2B5EF4-FFF2-40B4-BE49-F238E27FC236}">
              <a16:creationId xmlns:a16="http://schemas.microsoft.com/office/drawing/2014/main" id="{F33090A8-210D-49E2-BB1B-DC1E77D4E5B9}"/>
            </a:ext>
          </a:extLst>
        </xdr:cNvPr>
        <xdr:cNvSpPr/>
      </xdr:nvSpPr>
      <xdr:spPr>
        <a:xfrm>
          <a:off x="4329380" y="2149338"/>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7</xdr:col>
      <xdr:colOff>646044</xdr:colOff>
      <xdr:row>16</xdr:row>
      <xdr:rowOff>124239</xdr:rowOff>
    </xdr:from>
    <xdr:to>
      <xdr:col>7</xdr:col>
      <xdr:colOff>1470163</xdr:colOff>
      <xdr:row>17</xdr:row>
      <xdr:rowOff>118984</xdr:rowOff>
    </xdr:to>
    <xdr:sp macro="" textlink="">
      <xdr:nvSpPr>
        <xdr:cNvPr id="54" name="正方形/長方形 53">
          <a:extLst>
            <a:ext uri="{FF2B5EF4-FFF2-40B4-BE49-F238E27FC236}">
              <a16:creationId xmlns:a16="http://schemas.microsoft.com/office/drawing/2014/main" id="{B8B15495-7B44-4563-97C2-7F1465C65087}"/>
            </a:ext>
          </a:extLst>
        </xdr:cNvPr>
        <xdr:cNvSpPr/>
      </xdr:nvSpPr>
      <xdr:spPr>
        <a:xfrm>
          <a:off x="6754468" y="3789294"/>
          <a:ext cx="824119" cy="218375"/>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貸出</a:t>
          </a:r>
        </a:p>
      </xdr:txBody>
    </xdr:sp>
    <xdr:clientData/>
  </xdr:twoCellAnchor>
  <xdr:twoCellAnchor>
    <xdr:from>
      <xdr:col>4</xdr:col>
      <xdr:colOff>1273097</xdr:colOff>
      <xdr:row>14</xdr:row>
      <xdr:rowOff>4142</xdr:rowOff>
    </xdr:from>
    <xdr:to>
      <xdr:col>5</xdr:col>
      <xdr:colOff>0</xdr:colOff>
      <xdr:row>15</xdr:row>
      <xdr:rowOff>1</xdr:rowOff>
    </xdr:to>
    <xdr:sp macro="" textlink="">
      <xdr:nvSpPr>
        <xdr:cNvPr id="55" name="正方形/長方形 54">
          <a:extLst>
            <a:ext uri="{FF2B5EF4-FFF2-40B4-BE49-F238E27FC236}">
              <a16:creationId xmlns:a16="http://schemas.microsoft.com/office/drawing/2014/main" id="{43462F1E-53DA-493D-A5D3-0204831D66B7}"/>
            </a:ext>
          </a:extLst>
        </xdr:cNvPr>
        <xdr:cNvSpPr/>
      </xdr:nvSpPr>
      <xdr:spPr>
        <a:xfrm>
          <a:off x="4329380" y="2149338"/>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29</xdr:row>
      <xdr:rowOff>4142</xdr:rowOff>
    </xdr:from>
    <xdr:to>
      <xdr:col>5</xdr:col>
      <xdr:colOff>0</xdr:colOff>
      <xdr:row>30</xdr:row>
      <xdr:rowOff>1</xdr:rowOff>
    </xdr:to>
    <xdr:sp macro="" textlink="">
      <xdr:nvSpPr>
        <xdr:cNvPr id="56" name="正方形/長方形 55">
          <a:extLst>
            <a:ext uri="{FF2B5EF4-FFF2-40B4-BE49-F238E27FC236}">
              <a16:creationId xmlns:a16="http://schemas.microsoft.com/office/drawing/2014/main" id="{ADC8C056-C247-4ED3-AA1B-FB89F60360F0}"/>
            </a:ext>
          </a:extLst>
        </xdr:cNvPr>
        <xdr:cNvSpPr/>
      </xdr:nvSpPr>
      <xdr:spPr>
        <a:xfrm>
          <a:off x="4329380" y="2149338"/>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48</xdr:row>
      <xdr:rowOff>4142</xdr:rowOff>
    </xdr:from>
    <xdr:to>
      <xdr:col>5</xdr:col>
      <xdr:colOff>0</xdr:colOff>
      <xdr:row>49</xdr:row>
      <xdr:rowOff>1</xdr:rowOff>
    </xdr:to>
    <xdr:sp macro="" textlink="">
      <xdr:nvSpPr>
        <xdr:cNvPr id="57" name="正方形/長方形 56">
          <a:extLst>
            <a:ext uri="{FF2B5EF4-FFF2-40B4-BE49-F238E27FC236}">
              <a16:creationId xmlns:a16="http://schemas.microsoft.com/office/drawing/2014/main" id="{859A90AB-B613-44BF-8B78-64C41246FA9E}"/>
            </a:ext>
          </a:extLst>
        </xdr:cNvPr>
        <xdr:cNvSpPr/>
      </xdr:nvSpPr>
      <xdr:spPr>
        <a:xfrm>
          <a:off x="4329380" y="2149338"/>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67</xdr:row>
      <xdr:rowOff>4142</xdr:rowOff>
    </xdr:from>
    <xdr:to>
      <xdr:col>5</xdr:col>
      <xdr:colOff>0</xdr:colOff>
      <xdr:row>68</xdr:row>
      <xdr:rowOff>0</xdr:rowOff>
    </xdr:to>
    <xdr:sp macro="" textlink="">
      <xdr:nvSpPr>
        <xdr:cNvPr id="58" name="正方形/長方形 57">
          <a:extLst>
            <a:ext uri="{FF2B5EF4-FFF2-40B4-BE49-F238E27FC236}">
              <a16:creationId xmlns:a16="http://schemas.microsoft.com/office/drawing/2014/main" id="{A7CB3040-6FD5-48E3-8A60-86D69D394E72}"/>
            </a:ext>
          </a:extLst>
        </xdr:cNvPr>
        <xdr:cNvSpPr/>
      </xdr:nvSpPr>
      <xdr:spPr>
        <a:xfrm>
          <a:off x="4329380" y="2149338"/>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68</xdr:row>
      <xdr:rowOff>4142</xdr:rowOff>
    </xdr:from>
    <xdr:to>
      <xdr:col>5</xdr:col>
      <xdr:colOff>0</xdr:colOff>
      <xdr:row>69</xdr:row>
      <xdr:rowOff>1</xdr:rowOff>
    </xdr:to>
    <xdr:sp macro="" textlink="">
      <xdr:nvSpPr>
        <xdr:cNvPr id="59" name="正方形/長方形 58">
          <a:extLst>
            <a:ext uri="{FF2B5EF4-FFF2-40B4-BE49-F238E27FC236}">
              <a16:creationId xmlns:a16="http://schemas.microsoft.com/office/drawing/2014/main" id="{27569582-8915-479E-B436-6EBAE86F2253}"/>
            </a:ext>
          </a:extLst>
        </xdr:cNvPr>
        <xdr:cNvSpPr/>
      </xdr:nvSpPr>
      <xdr:spPr>
        <a:xfrm>
          <a:off x="4329380" y="2149338"/>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69</xdr:row>
      <xdr:rowOff>4142</xdr:rowOff>
    </xdr:from>
    <xdr:to>
      <xdr:col>5</xdr:col>
      <xdr:colOff>0</xdr:colOff>
      <xdr:row>70</xdr:row>
      <xdr:rowOff>1</xdr:rowOff>
    </xdr:to>
    <xdr:sp macro="" textlink="">
      <xdr:nvSpPr>
        <xdr:cNvPr id="60" name="正方形/長方形 59">
          <a:extLst>
            <a:ext uri="{FF2B5EF4-FFF2-40B4-BE49-F238E27FC236}">
              <a16:creationId xmlns:a16="http://schemas.microsoft.com/office/drawing/2014/main" id="{23886A50-D353-4A09-8340-1EBF82070511}"/>
            </a:ext>
          </a:extLst>
        </xdr:cNvPr>
        <xdr:cNvSpPr/>
      </xdr:nvSpPr>
      <xdr:spPr>
        <a:xfrm>
          <a:off x="4329380" y="2149338"/>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70</xdr:row>
      <xdr:rowOff>4142</xdr:rowOff>
    </xdr:from>
    <xdr:to>
      <xdr:col>5</xdr:col>
      <xdr:colOff>0</xdr:colOff>
      <xdr:row>71</xdr:row>
      <xdr:rowOff>1</xdr:rowOff>
    </xdr:to>
    <xdr:sp macro="" textlink="">
      <xdr:nvSpPr>
        <xdr:cNvPr id="61" name="正方形/長方形 60">
          <a:extLst>
            <a:ext uri="{FF2B5EF4-FFF2-40B4-BE49-F238E27FC236}">
              <a16:creationId xmlns:a16="http://schemas.microsoft.com/office/drawing/2014/main" id="{46B5D1C4-617E-4688-A59D-D431D5A088DE}"/>
            </a:ext>
          </a:extLst>
        </xdr:cNvPr>
        <xdr:cNvSpPr/>
      </xdr:nvSpPr>
      <xdr:spPr>
        <a:xfrm>
          <a:off x="4329380" y="2149338"/>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71</xdr:row>
      <xdr:rowOff>4142</xdr:rowOff>
    </xdr:from>
    <xdr:to>
      <xdr:col>5</xdr:col>
      <xdr:colOff>0</xdr:colOff>
      <xdr:row>72</xdr:row>
      <xdr:rowOff>1</xdr:rowOff>
    </xdr:to>
    <xdr:sp macro="" textlink="">
      <xdr:nvSpPr>
        <xdr:cNvPr id="62" name="正方形/長方形 61">
          <a:extLst>
            <a:ext uri="{FF2B5EF4-FFF2-40B4-BE49-F238E27FC236}">
              <a16:creationId xmlns:a16="http://schemas.microsoft.com/office/drawing/2014/main" id="{4F8A7E36-E69D-4D0D-A20E-905ACE529180}"/>
            </a:ext>
          </a:extLst>
        </xdr:cNvPr>
        <xdr:cNvSpPr/>
      </xdr:nvSpPr>
      <xdr:spPr>
        <a:xfrm>
          <a:off x="4329380" y="2149338"/>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7</xdr:col>
      <xdr:colOff>666750</xdr:colOff>
      <xdr:row>36</xdr:row>
      <xdr:rowOff>120098</xdr:rowOff>
    </xdr:from>
    <xdr:to>
      <xdr:col>7</xdr:col>
      <xdr:colOff>1490869</xdr:colOff>
      <xdr:row>37</xdr:row>
      <xdr:rowOff>110701</xdr:rowOff>
    </xdr:to>
    <xdr:sp macro="" textlink="">
      <xdr:nvSpPr>
        <xdr:cNvPr id="123" name="正方形/長方形 122">
          <a:extLst>
            <a:ext uri="{FF2B5EF4-FFF2-40B4-BE49-F238E27FC236}">
              <a16:creationId xmlns:a16="http://schemas.microsoft.com/office/drawing/2014/main" id="{1E5F8487-9381-48E9-8F57-1C6E1DD441BB}"/>
            </a:ext>
          </a:extLst>
        </xdr:cNvPr>
        <xdr:cNvSpPr/>
      </xdr:nvSpPr>
      <xdr:spPr>
        <a:xfrm>
          <a:off x="6775174" y="8328163"/>
          <a:ext cx="824119" cy="218375"/>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貸出</a:t>
          </a:r>
        </a:p>
      </xdr:txBody>
    </xdr:sp>
    <xdr:clientData/>
  </xdr:twoCellAnchor>
  <xdr:twoCellAnchor>
    <xdr:from>
      <xdr:col>7</xdr:col>
      <xdr:colOff>666750</xdr:colOff>
      <xdr:row>55</xdr:row>
      <xdr:rowOff>124239</xdr:rowOff>
    </xdr:from>
    <xdr:to>
      <xdr:col>7</xdr:col>
      <xdr:colOff>1490869</xdr:colOff>
      <xdr:row>56</xdr:row>
      <xdr:rowOff>118983</xdr:rowOff>
    </xdr:to>
    <xdr:sp macro="" textlink="">
      <xdr:nvSpPr>
        <xdr:cNvPr id="124" name="正方形/長方形 123">
          <a:extLst>
            <a:ext uri="{FF2B5EF4-FFF2-40B4-BE49-F238E27FC236}">
              <a16:creationId xmlns:a16="http://schemas.microsoft.com/office/drawing/2014/main" id="{B04B3E4F-5325-49D0-A194-061917BFE057}"/>
            </a:ext>
          </a:extLst>
        </xdr:cNvPr>
        <xdr:cNvSpPr/>
      </xdr:nvSpPr>
      <xdr:spPr>
        <a:xfrm>
          <a:off x="6775174" y="12651685"/>
          <a:ext cx="824119" cy="218375"/>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貸出</a:t>
          </a:r>
        </a:p>
      </xdr:txBody>
    </xdr:sp>
    <xdr:clientData/>
  </xdr:twoCellAnchor>
  <xdr:twoCellAnchor>
    <xdr:from>
      <xdr:col>7</xdr:col>
      <xdr:colOff>683315</xdr:colOff>
      <xdr:row>73</xdr:row>
      <xdr:rowOff>120098</xdr:rowOff>
    </xdr:from>
    <xdr:to>
      <xdr:col>7</xdr:col>
      <xdr:colOff>1507434</xdr:colOff>
      <xdr:row>74</xdr:row>
      <xdr:rowOff>114843</xdr:rowOff>
    </xdr:to>
    <xdr:sp macro="" textlink="">
      <xdr:nvSpPr>
        <xdr:cNvPr id="125" name="正方形/長方形 124">
          <a:extLst>
            <a:ext uri="{FF2B5EF4-FFF2-40B4-BE49-F238E27FC236}">
              <a16:creationId xmlns:a16="http://schemas.microsoft.com/office/drawing/2014/main" id="{617DB2AE-0C0C-4ECE-86D9-F75FBE45CE7E}"/>
            </a:ext>
          </a:extLst>
        </xdr:cNvPr>
        <xdr:cNvSpPr/>
      </xdr:nvSpPr>
      <xdr:spPr>
        <a:xfrm>
          <a:off x="6791739" y="16739153"/>
          <a:ext cx="824119" cy="218375"/>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貸出</a:t>
          </a:r>
        </a:p>
      </xdr:txBody>
    </xdr:sp>
    <xdr:clientData/>
  </xdr:twoCellAnchor>
  <xdr:twoCellAnchor>
    <xdr:from>
      <xdr:col>4</xdr:col>
      <xdr:colOff>1273097</xdr:colOff>
      <xdr:row>50</xdr:row>
      <xdr:rowOff>4142</xdr:rowOff>
    </xdr:from>
    <xdr:to>
      <xdr:col>5</xdr:col>
      <xdr:colOff>0</xdr:colOff>
      <xdr:row>51</xdr:row>
      <xdr:rowOff>1</xdr:rowOff>
    </xdr:to>
    <xdr:sp macro="" textlink="">
      <xdr:nvSpPr>
        <xdr:cNvPr id="126" name="正方形/長方形 125">
          <a:extLst>
            <a:ext uri="{FF2B5EF4-FFF2-40B4-BE49-F238E27FC236}">
              <a16:creationId xmlns:a16="http://schemas.microsoft.com/office/drawing/2014/main" id="{258B2E91-14FE-4B05-8570-D23A5CA5F85F}"/>
            </a:ext>
          </a:extLst>
        </xdr:cNvPr>
        <xdr:cNvSpPr/>
      </xdr:nvSpPr>
      <xdr:spPr>
        <a:xfrm>
          <a:off x="4329380" y="10966175"/>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51</xdr:row>
      <xdr:rowOff>4142</xdr:rowOff>
    </xdr:from>
    <xdr:to>
      <xdr:col>5</xdr:col>
      <xdr:colOff>0</xdr:colOff>
      <xdr:row>52</xdr:row>
      <xdr:rowOff>1</xdr:rowOff>
    </xdr:to>
    <xdr:sp macro="" textlink="">
      <xdr:nvSpPr>
        <xdr:cNvPr id="127" name="正方形/長方形 126">
          <a:extLst>
            <a:ext uri="{FF2B5EF4-FFF2-40B4-BE49-F238E27FC236}">
              <a16:creationId xmlns:a16="http://schemas.microsoft.com/office/drawing/2014/main" id="{C3CC4B9B-CD80-49F4-AC7D-938155AC3819}"/>
            </a:ext>
          </a:extLst>
        </xdr:cNvPr>
        <xdr:cNvSpPr/>
      </xdr:nvSpPr>
      <xdr:spPr>
        <a:xfrm>
          <a:off x="4329380" y="10966175"/>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52</xdr:row>
      <xdr:rowOff>4142</xdr:rowOff>
    </xdr:from>
    <xdr:to>
      <xdr:col>5</xdr:col>
      <xdr:colOff>0</xdr:colOff>
      <xdr:row>53</xdr:row>
      <xdr:rowOff>1</xdr:rowOff>
    </xdr:to>
    <xdr:sp macro="" textlink="">
      <xdr:nvSpPr>
        <xdr:cNvPr id="128" name="正方形/長方形 127">
          <a:extLst>
            <a:ext uri="{FF2B5EF4-FFF2-40B4-BE49-F238E27FC236}">
              <a16:creationId xmlns:a16="http://schemas.microsoft.com/office/drawing/2014/main" id="{BF9A11B6-2B40-4F28-B5D3-1B0354007B80}"/>
            </a:ext>
          </a:extLst>
        </xdr:cNvPr>
        <xdr:cNvSpPr/>
      </xdr:nvSpPr>
      <xdr:spPr>
        <a:xfrm>
          <a:off x="4329380" y="10966175"/>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twoCellAnchor>
    <xdr:from>
      <xdr:col>4</xdr:col>
      <xdr:colOff>1273097</xdr:colOff>
      <xdr:row>53</xdr:row>
      <xdr:rowOff>4142</xdr:rowOff>
    </xdr:from>
    <xdr:to>
      <xdr:col>5</xdr:col>
      <xdr:colOff>0</xdr:colOff>
      <xdr:row>54</xdr:row>
      <xdr:rowOff>1</xdr:rowOff>
    </xdr:to>
    <xdr:sp macro="" textlink="">
      <xdr:nvSpPr>
        <xdr:cNvPr id="129" name="正方形/長方形 128">
          <a:extLst>
            <a:ext uri="{FF2B5EF4-FFF2-40B4-BE49-F238E27FC236}">
              <a16:creationId xmlns:a16="http://schemas.microsoft.com/office/drawing/2014/main" id="{8350BB2A-C007-4C91-ABA8-80CB37A64AFD}"/>
            </a:ext>
          </a:extLst>
        </xdr:cNvPr>
        <xdr:cNvSpPr/>
      </xdr:nvSpPr>
      <xdr:spPr>
        <a:xfrm>
          <a:off x="4329380" y="10966175"/>
          <a:ext cx="180501" cy="21948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lIns="18000" tIns="0" rIns="36000" rtlCol="0" anchor="t"/>
        <a:lstStyle/>
        <a:p>
          <a:pPr algn="l"/>
          <a:r>
            <a:rPr kumimoji="1" lang="ja-JP" altLang="en-US" sz="1100">
              <a:ln>
                <a:noFill/>
              </a:ln>
            </a:rPr>
            <a:t>▼</a:t>
          </a:r>
        </a:p>
      </xdr:txBody>
    </xdr:sp>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2</xdr:row>
          <xdr:rowOff>0</xdr:rowOff>
        </xdr:from>
        <xdr:to>
          <xdr:col>11</xdr:col>
          <xdr:colOff>433387</xdr:colOff>
          <xdr:row>17</xdr:row>
          <xdr:rowOff>17600</xdr:rowOff>
        </xdr:to>
        <xdr:pic>
          <xdr:nvPicPr>
            <xdr:cNvPr id="13" name="図 12">
              <a:extLst>
                <a:ext uri="{FF2B5EF4-FFF2-40B4-BE49-F238E27FC236}">
                  <a16:creationId xmlns:a16="http://schemas.microsoft.com/office/drawing/2014/main" id="{E2862461-EEBB-6784-947A-21068BA42748}"/>
                </a:ext>
              </a:extLst>
            </xdr:cNvPr>
            <xdr:cNvPicPr>
              <a:picLocks noChangeAspect="1" noChangeArrowheads="1"/>
              <a:extLst>
                <a:ext uri="{84589F7E-364E-4C9E-8A38-B11213B215E9}">
                  <a14:cameraTool cellRange="備品貸出画面!$C$4:$K$18" spid="_x0000_s27740"/>
                </a:ext>
              </a:extLst>
            </xdr:cNvPicPr>
          </xdr:nvPicPr>
          <xdr:blipFill>
            <a:blip xmlns:r="http://schemas.openxmlformats.org/officeDocument/2006/relationships" r:embed="rId1"/>
            <a:srcRect/>
            <a:stretch>
              <a:fillRect/>
            </a:stretch>
          </xdr:blipFill>
          <xdr:spPr bwMode="auto">
            <a:xfrm>
              <a:off x="685800" y="514350"/>
              <a:ext cx="8763000" cy="3375163"/>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19050</xdr:colOff>
      <xdr:row>4</xdr:row>
      <xdr:rowOff>133352</xdr:rowOff>
    </xdr:from>
    <xdr:to>
      <xdr:col>3</xdr:col>
      <xdr:colOff>289917</xdr:colOff>
      <xdr:row>5</xdr:row>
      <xdr:rowOff>191097</xdr:rowOff>
    </xdr:to>
    <xdr:sp macro="" textlink="">
      <xdr:nvSpPr>
        <xdr:cNvPr id="3" name="正方形/長方形 2">
          <a:extLst>
            <a:ext uri="{FF2B5EF4-FFF2-40B4-BE49-F238E27FC236}">
              <a16:creationId xmlns:a16="http://schemas.microsoft.com/office/drawing/2014/main" id="{168509C0-A5F5-4866-861B-46240C80D5B9}"/>
            </a:ext>
          </a:extLst>
        </xdr:cNvPr>
        <xdr:cNvSpPr/>
      </xdr:nvSpPr>
      <xdr:spPr>
        <a:xfrm>
          <a:off x="2166938" y="1095377"/>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1</a:t>
          </a:r>
          <a:endParaRPr kumimoji="1" lang="ja-JP" altLang="en-US" sz="1100"/>
        </a:p>
      </xdr:txBody>
    </xdr:sp>
    <xdr:clientData/>
  </xdr:twoCellAnchor>
  <xdr:twoCellAnchor editAs="oneCell">
    <xdr:from>
      <xdr:col>3</xdr:col>
      <xdr:colOff>351233</xdr:colOff>
      <xdr:row>6</xdr:row>
      <xdr:rowOff>72032</xdr:rowOff>
    </xdr:from>
    <xdr:to>
      <xdr:col>4</xdr:col>
      <xdr:colOff>23298</xdr:colOff>
      <xdr:row>7</xdr:row>
      <xdr:rowOff>129777</xdr:rowOff>
    </xdr:to>
    <xdr:sp macro="" textlink="">
      <xdr:nvSpPr>
        <xdr:cNvPr id="4" name="正方形/長方形 3">
          <a:extLst>
            <a:ext uri="{FF2B5EF4-FFF2-40B4-BE49-F238E27FC236}">
              <a16:creationId xmlns:a16="http://schemas.microsoft.com/office/drawing/2014/main" id="{65445051-92B6-4123-BCB3-88895B9F6057}"/>
            </a:ext>
          </a:extLst>
        </xdr:cNvPr>
        <xdr:cNvSpPr/>
      </xdr:nvSpPr>
      <xdr:spPr>
        <a:xfrm>
          <a:off x="2499121" y="1481732"/>
          <a:ext cx="26737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2</a:t>
          </a:r>
          <a:endParaRPr kumimoji="1" lang="ja-JP" altLang="en-US" sz="1100"/>
        </a:p>
      </xdr:txBody>
    </xdr:sp>
    <xdr:clientData/>
  </xdr:twoCellAnchor>
  <xdr:twoCellAnchor editAs="oneCell">
    <xdr:from>
      <xdr:col>5</xdr:col>
      <xdr:colOff>504824</xdr:colOff>
      <xdr:row>6</xdr:row>
      <xdr:rowOff>57152</xdr:rowOff>
    </xdr:from>
    <xdr:to>
      <xdr:col>5</xdr:col>
      <xdr:colOff>775691</xdr:colOff>
      <xdr:row>7</xdr:row>
      <xdr:rowOff>114897</xdr:rowOff>
    </xdr:to>
    <xdr:sp macro="" textlink="">
      <xdr:nvSpPr>
        <xdr:cNvPr id="5" name="正方形/長方形 4">
          <a:extLst>
            <a:ext uri="{FF2B5EF4-FFF2-40B4-BE49-F238E27FC236}">
              <a16:creationId xmlns:a16="http://schemas.microsoft.com/office/drawing/2014/main" id="{B94A07C8-0B27-4292-9A96-309E9CA681D5}"/>
            </a:ext>
          </a:extLst>
        </xdr:cNvPr>
        <xdr:cNvSpPr/>
      </xdr:nvSpPr>
      <xdr:spPr>
        <a:xfrm>
          <a:off x="3700462" y="1466852"/>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3</a:t>
          </a:r>
          <a:endParaRPr kumimoji="1" lang="ja-JP" altLang="en-US" sz="1100"/>
        </a:p>
      </xdr:txBody>
    </xdr:sp>
    <xdr:clientData/>
  </xdr:twoCellAnchor>
  <xdr:twoCellAnchor editAs="oneCell">
    <xdr:from>
      <xdr:col>7</xdr:col>
      <xdr:colOff>164903</xdr:colOff>
      <xdr:row>6</xdr:row>
      <xdr:rowOff>54173</xdr:rowOff>
    </xdr:from>
    <xdr:to>
      <xdr:col>7</xdr:col>
      <xdr:colOff>436365</xdr:colOff>
      <xdr:row>7</xdr:row>
      <xdr:rowOff>111918</xdr:rowOff>
    </xdr:to>
    <xdr:sp macro="" textlink="">
      <xdr:nvSpPr>
        <xdr:cNvPr id="6" name="正方形/長方形 5">
          <a:extLst>
            <a:ext uri="{FF2B5EF4-FFF2-40B4-BE49-F238E27FC236}">
              <a16:creationId xmlns:a16="http://schemas.microsoft.com/office/drawing/2014/main" id="{2E0754EF-0431-4EFA-BA26-AD9461C7E3C8}"/>
            </a:ext>
          </a:extLst>
        </xdr:cNvPr>
        <xdr:cNvSpPr/>
      </xdr:nvSpPr>
      <xdr:spPr>
        <a:xfrm>
          <a:off x="4765478" y="1463873"/>
          <a:ext cx="271462"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4</a:t>
          </a:r>
          <a:endParaRPr kumimoji="1" lang="ja-JP" altLang="en-US" sz="1100"/>
        </a:p>
      </xdr:txBody>
    </xdr:sp>
    <xdr:clientData/>
  </xdr:twoCellAnchor>
  <xdr:twoCellAnchor editAs="oneCell">
    <xdr:from>
      <xdr:col>8</xdr:col>
      <xdr:colOff>473274</xdr:colOff>
      <xdr:row>6</xdr:row>
      <xdr:rowOff>45244</xdr:rowOff>
    </xdr:from>
    <xdr:to>
      <xdr:col>8</xdr:col>
      <xdr:colOff>744141</xdr:colOff>
      <xdr:row>7</xdr:row>
      <xdr:rowOff>102989</xdr:rowOff>
    </xdr:to>
    <xdr:sp macro="" textlink="">
      <xdr:nvSpPr>
        <xdr:cNvPr id="7" name="正方形/長方形 6">
          <a:extLst>
            <a:ext uri="{FF2B5EF4-FFF2-40B4-BE49-F238E27FC236}">
              <a16:creationId xmlns:a16="http://schemas.microsoft.com/office/drawing/2014/main" id="{3745E973-99D9-432D-A1CE-1326ABE18716}"/>
            </a:ext>
          </a:extLst>
        </xdr:cNvPr>
        <xdr:cNvSpPr/>
      </xdr:nvSpPr>
      <xdr:spPr>
        <a:xfrm>
          <a:off x="5564387" y="1454944"/>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5</a:t>
          </a:r>
          <a:endParaRPr kumimoji="1" lang="ja-JP" altLang="en-US" sz="1100"/>
        </a:p>
      </xdr:txBody>
    </xdr:sp>
    <xdr:clientData/>
  </xdr:twoCellAnchor>
  <xdr:twoCellAnchor editAs="oneCell">
    <xdr:from>
      <xdr:col>9</xdr:col>
      <xdr:colOff>606623</xdr:colOff>
      <xdr:row>6</xdr:row>
      <xdr:rowOff>33340</xdr:rowOff>
    </xdr:from>
    <xdr:to>
      <xdr:col>9</xdr:col>
      <xdr:colOff>877490</xdr:colOff>
      <xdr:row>7</xdr:row>
      <xdr:rowOff>91085</xdr:rowOff>
    </xdr:to>
    <xdr:sp macro="" textlink="">
      <xdr:nvSpPr>
        <xdr:cNvPr id="8" name="正方形/長方形 7">
          <a:extLst>
            <a:ext uri="{FF2B5EF4-FFF2-40B4-BE49-F238E27FC236}">
              <a16:creationId xmlns:a16="http://schemas.microsoft.com/office/drawing/2014/main" id="{7776E479-CB55-4BDB-944C-9E70472562FF}"/>
            </a:ext>
          </a:extLst>
        </xdr:cNvPr>
        <xdr:cNvSpPr/>
      </xdr:nvSpPr>
      <xdr:spPr>
        <a:xfrm>
          <a:off x="6755011" y="1443040"/>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6</a:t>
          </a:r>
        </a:p>
      </xdr:txBody>
    </xdr:sp>
    <xdr:clientData/>
  </xdr:twoCellAnchor>
  <xdr:twoCellAnchor editAs="oneCell">
    <xdr:from>
      <xdr:col>10</xdr:col>
      <xdr:colOff>412552</xdr:colOff>
      <xdr:row>6</xdr:row>
      <xdr:rowOff>19052</xdr:rowOff>
    </xdr:from>
    <xdr:to>
      <xdr:col>10</xdr:col>
      <xdr:colOff>683419</xdr:colOff>
      <xdr:row>7</xdr:row>
      <xdr:rowOff>76797</xdr:rowOff>
    </xdr:to>
    <xdr:sp macro="" textlink="">
      <xdr:nvSpPr>
        <xdr:cNvPr id="10" name="正方形/長方形 9">
          <a:extLst>
            <a:ext uri="{FF2B5EF4-FFF2-40B4-BE49-F238E27FC236}">
              <a16:creationId xmlns:a16="http://schemas.microsoft.com/office/drawing/2014/main" id="{F9B3CF7A-4B6A-4514-82CA-AEF185BDEC03}"/>
            </a:ext>
          </a:extLst>
        </xdr:cNvPr>
        <xdr:cNvSpPr/>
      </xdr:nvSpPr>
      <xdr:spPr>
        <a:xfrm>
          <a:off x="8299252" y="1428752"/>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7</a:t>
          </a:r>
        </a:p>
      </xdr:txBody>
    </xdr:sp>
    <xdr:clientData/>
  </xdr:twoCellAnchor>
  <xdr:twoCellAnchor>
    <xdr:from>
      <xdr:col>11</xdr:col>
      <xdr:colOff>1019174</xdr:colOff>
      <xdr:row>6</xdr:row>
      <xdr:rowOff>133351</xdr:rowOff>
    </xdr:from>
    <xdr:to>
      <xdr:col>12</xdr:col>
      <xdr:colOff>4100512</xdr:colOff>
      <xdr:row>16</xdr:row>
      <xdr:rowOff>219076</xdr:rowOff>
    </xdr:to>
    <xdr:sp macro="" textlink="">
      <xdr:nvSpPr>
        <xdr:cNvPr id="11" name="吹き出し: 四角形 10">
          <a:extLst>
            <a:ext uri="{FF2B5EF4-FFF2-40B4-BE49-F238E27FC236}">
              <a16:creationId xmlns:a16="http://schemas.microsoft.com/office/drawing/2014/main" id="{C24B2E7D-BE3C-402D-A87B-AC89CAD731D6}"/>
            </a:ext>
          </a:extLst>
        </xdr:cNvPr>
        <xdr:cNvSpPr/>
      </xdr:nvSpPr>
      <xdr:spPr>
        <a:xfrm>
          <a:off x="10034587" y="1543051"/>
          <a:ext cx="7200900" cy="2324100"/>
        </a:xfrm>
        <a:prstGeom prst="wedgeRectCallout">
          <a:avLst>
            <a:gd name="adj1" fmla="val -62135"/>
            <a:gd name="adj2" fmla="val -21967"/>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a:t>＜画面仕様＞</a:t>
          </a:r>
          <a:endParaRPr kumimoji="1" lang="en-US" altLang="ja-JP" sz="1100"/>
        </a:p>
        <a:p>
          <a:pPr algn="l"/>
          <a:r>
            <a:rPr kumimoji="1" lang="ja-JP" altLang="en-US" sz="1100"/>
            <a:t>・遷移元の備品詳細画面に表示していた備品の貸出可のデータを抽出して一覧表示する。</a:t>
          </a:r>
          <a:endParaRPr kumimoji="1" lang="en-US" altLang="ja-JP" sz="1100"/>
        </a:p>
        <a:p>
          <a:pPr algn="l"/>
          <a:r>
            <a:rPr kumimoji="1" lang="ja-JP" altLang="en-US" sz="1100"/>
            <a:t>　（左図は</a:t>
          </a:r>
          <a:r>
            <a:rPr kumimoji="1" lang="en-US" altLang="ja-JP" sz="1100"/>
            <a:t>7F</a:t>
          </a:r>
          <a:r>
            <a:rPr kumimoji="1" lang="ja-JP" altLang="en-US" sz="1100"/>
            <a:t>オフィスの鍵を選択した場合のもの）</a:t>
          </a:r>
          <a:endParaRPr kumimoji="1" lang="en-US" altLang="ja-JP" sz="1100"/>
        </a:p>
        <a:p>
          <a:pPr algn="l"/>
          <a:r>
            <a:rPr kumimoji="1" lang="ja-JP" altLang="en-US" sz="1100"/>
            <a:t>・画面表示に収まりきらない場合はスクロールバーを表示してスクロール可能にする。</a:t>
          </a:r>
          <a:endParaRPr kumimoji="1" lang="en-US" altLang="ja-JP" sz="1100"/>
        </a:p>
        <a:p>
          <a:pPr algn="l"/>
          <a:r>
            <a:rPr kumimoji="1" lang="ja-JP" altLang="en-US" sz="1100"/>
            <a:t>・貸出ボタン押下時、貸出にチェックのあるデータを対象に入力チェックおよび貸出処理を行う。</a:t>
          </a:r>
          <a:endParaRPr kumimoji="1" lang="en-US" altLang="ja-JP" sz="1100"/>
        </a:p>
        <a:p>
          <a:pPr algn="l"/>
          <a:r>
            <a:rPr kumimoji="1" lang="ja-JP" altLang="en-US" sz="1100"/>
            <a:t>・入力チェックでは未入力の項目がある場合や存在しない使用者が入力されている場合、返却予定日が貸出開始日より過去日の場合にエラーとする。</a:t>
          </a:r>
          <a:endParaRPr kumimoji="1" lang="en-US" altLang="ja-JP" sz="1100"/>
        </a:p>
        <a:p>
          <a:pPr algn="l"/>
          <a:r>
            <a:rPr kumimoji="1" lang="ja-JP" altLang="en-US" sz="1100"/>
            <a:t>・貸出処理の際、可能であればトランザクション処理を組み込み、貸出対象の全データの登録が成功したときのみコミットすること。（途中で失敗した場合はロールバックすること。）</a:t>
          </a:r>
          <a:endParaRPr kumimoji="1" lang="en-US" altLang="ja-JP" sz="1100"/>
        </a:p>
      </xdr:txBody>
    </xdr:sp>
    <xdr:clientData/>
  </xdr:twoCellAnchor>
  <xdr:twoCellAnchor editAs="oneCell">
    <xdr:from>
      <xdr:col>9</xdr:col>
      <xdr:colOff>485775</xdr:colOff>
      <xdr:row>16</xdr:row>
      <xdr:rowOff>33338</xdr:rowOff>
    </xdr:from>
    <xdr:to>
      <xdr:col>9</xdr:col>
      <xdr:colOff>756642</xdr:colOff>
      <xdr:row>17</xdr:row>
      <xdr:rowOff>91083</xdr:rowOff>
    </xdr:to>
    <xdr:sp macro="" textlink="">
      <xdr:nvSpPr>
        <xdr:cNvPr id="14" name="正方形/長方形 13">
          <a:extLst>
            <a:ext uri="{FF2B5EF4-FFF2-40B4-BE49-F238E27FC236}">
              <a16:creationId xmlns:a16="http://schemas.microsoft.com/office/drawing/2014/main" id="{D4EA284C-20CA-4D46-B68E-18148A273E3F}"/>
            </a:ext>
          </a:extLst>
        </xdr:cNvPr>
        <xdr:cNvSpPr/>
      </xdr:nvSpPr>
      <xdr:spPr>
        <a:xfrm>
          <a:off x="7315200" y="3681413"/>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8</a:t>
          </a:r>
        </a:p>
      </xdr:txBody>
    </xdr:sp>
    <xdr:clientData/>
  </xdr:twoCellAnchor>
  <xdr:twoCellAnchor editAs="oneCell">
    <xdr:from>
      <xdr:col>10</xdr:col>
      <xdr:colOff>638175</xdr:colOff>
      <xdr:row>16</xdr:row>
      <xdr:rowOff>52388</xdr:rowOff>
    </xdr:from>
    <xdr:to>
      <xdr:col>10</xdr:col>
      <xdr:colOff>909042</xdr:colOff>
      <xdr:row>17</xdr:row>
      <xdr:rowOff>110133</xdr:rowOff>
    </xdr:to>
    <xdr:sp macro="" textlink="">
      <xdr:nvSpPr>
        <xdr:cNvPr id="15" name="正方形/長方形 14">
          <a:extLst>
            <a:ext uri="{FF2B5EF4-FFF2-40B4-BE49-F238E27FC236}">
              <a16:creationId xmlns:a16="http://schemas.microsoft.com/office/drawing/2014/main" id="{371DAA7D-3104-49F8-AC61-0B6AE4A44D50}"/>
            </a:ext>
          </a:extLst>
        </xdr:cNvPr>
        <xdr:cNvSpPr/>
      </xdr:nvSpPr>
      <xdr:spPr>
        <a:xfrm>
          <a:off x="8524875" y="3700463"/>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98</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9</xdr:col>
      <xdr:colOff>0</xdr:colOff>
      <xdr:row>13</xdr:row>
      <xdr:rowOff>0</xdr:rowOff>
    </xdr:from>
    <xdr:to>
      <xdr:col>10</xdr:col>
      <xdr:colOff>0</xdr:colOff>
      <xdr:row>14</xdr:row>
      <xdr:rowOff>0</xdr:rowOff>
    </xdr:to>
    <xdr:sp macro="" textlink="">
      <xdr:nvSpPr>
        <xdr:cNvPr id="2" name="正方形/長方形 1">
          <a:extLst>
            <a:ext uri="{FF2B5EF4-FFF2-40B4-BE49-F238E27FC236}">
              <a16:creationId xmlns:a16="http://schemas.microsoft.com/office/drawing/2014/main" id="{6C07048E-2BF2-4A50-9068-448FEDB685C5}"/>
            </a:ext>
          </a:extLst>
        </xdr:cNvPr>
        <xdr:cNvSpPr/>
      </xdr:nvSpPr>
      <xdr:spPr>
        <a:xfrm>
          <a:off x="8605838" y="3267075"/>
          <a:ext cx="147637"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9</xdr:col>
      <xdr:colOff>0</xdr:colOff>
      <xdr:row>9</xdr:row>
      <xdr:rowOff>4763</xdr:rowOff>
    </xdr:from>
    <xdr:to>
      <xdr:col>10</xdr:col>
      <xdr:colOff>0</xdr:colOff>
      <xdr:row>10</xdr:row>
      <xdr:rowOff>4764</xdr:rowOff>
    </xdr:to>
    <xdr:sp macro="" textlink="">
      <xdr:nvSpPr>
        <xdr:cNvPr id="3" name="正方形/長方形 2">
          <a:extLst>
            <a:ext uri="{FF2B5EF4-FFF2-40B4-BE49-F238E27FC236}">
              <a16:creationId xmlns:a16="http://schemas.microsoft.com/office/drawing/2014/main" id="{84A33B56-15ED-4198-8AF4-051C2A1875A6}"/>
            </a:ext>
          </a:extLst>
        </xdr:cNvPr>
        <xdr:cNvSpPr/>
      </xdr:nvSpPr>
      <xdr:spPr>
        <a:xfrm>
          <a:off x="8605838" y="2152651"/>
          <a:ext cx="147637"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3</xdr:col>
      <xdr:colOff>0</xdr:colOff>
      <xdr:row>14</xdr:row>
      <xdr:rowOff>0</xdr:rowOff>
    </xdr:from>
    <xdr:to>
      <xdr:col>3</xdr:col>
      <xdr:colOff>116225</xdr:colOff>
      <xdr:row>15</xdr:row>
      <xdr:rowOff>0</xdr:rowOff>
    </xdr:to>
    <xdr:sp macro="" textlink="">
      <xdr:nvSpPr>
        <xdr:cNvPr id="4" name="正方形/長方形 3">
          <a:extLst>
            <a:ext uri="{FF2B5EF4-FFF2-40B4-BE49-F238E27FC236}">
              <a16:creationId xmlns:a16="http://schemas.microsoft.com/office/drawing/2014/main" id="{97CBD131-4C93-4DC2-AA01-272B0A483761}"/>
            </a:ext>
          </a:extLst>
        </xdr:cNvPr>
        <xdr:cNvSpPr/>
      </xdr:nvSpPr>
      <xdr:spPr>
        <a:xfrm>
          <a:off x="1109663" y="3490913"/>
          <a:ext cx="116225" cy="176212"/>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8</xdr:col>
      <xdr:colOff>707686</xdr:colOff>
      <xdr:row>14</xdr:row>
      <xdr:rowOff>0</xdr:rowOff>
    </xdr:from>
    <xdr:to>
      <xdr:col>9</xdr:col>
      <xdr:colOff>0</xdr:colOff>
      <xdr:row>15</xdr:row>
      <xdr:rowOff>0</xdr:rowOff>
    </xdr:to>
    <xdr:sp macro="" textlink="">
      <xdr:nvSpPr>
        <xdr:cNvPr id="5" name="正方形/長方形 4">
          <a:extLst>
            <a:ext uri="{FF2B5EF4-FFF2-40B4-BE49-F238E27FC236}">
              <a16:creationId xmlns:a16="http://schemas.microsoft.com/office/drawing/2014/main" id="{95BD7E53-218F-47E6-846A-FF49FBA8EFF0}"/>
            </a:ext>
          </a:extLst>
        </xdr:cNvPr>
        <xdr:cNvSpPr/>
      </xdr:nvSpPr>
      <xdr:spPr>
        <a:xfrm>
          <a:off x="8489611" y="3490913"/>
          <a:ext cx="116227" cy="176212"/>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7</xdr:col>
      <xdr:colOff>1615294</xdr:colOff>
      <xdr:row>15</xdr:row>
      <xdr:rowOff>123825</xdr:rowOff>
    </xdr:from>
    <xdr:to>
      <xdr:col>10</xdr:col>
      <xdr:colOff>0</xdr:colOff>
      <xdr:row>16</xdr:row>
      <xdr:rowOff>118569</xdr:rowOff>
    </xdr:to>
    <xdr:sp macro="" textlink="">
      <xdr:nvSpPr>
        <xdr:cNvPr id="6" name="正方形/長方形 5">
          <a:extLst>
            <a:ext uri="{FF2B5EF4-FFF2-40B4-BE49-F238E27FC236}">
              <a16:creationId xmlns:a16="http://schemas.microsoft.com/office/drawing/2014/main" id="{7A0E0DC3-85FE-4CFE-B2D1-07127EB3F77E}"/>
            </a:ext>
          </a:extLst>
        </xdr:cNvPr>
        <xdr:cNvSpPr/>
      </xdr:nvSpPr>
      <xdr:spPr>
        <a:xfrm>
          <a:off x="7725582" y="3790950"/>
          <a:ext cx="1027893" cy="218582"/>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戻る</a:t>
          </a:r>
        </a:p>
      </xdr:txBody>
    </xdr:sp>
    <xdr:clientData/>
  </xdr:twoCellAnchor>
  <xdr:twoCellAnchor>
    <xdr:from>
      <xdr:col>9</xdr:col>
      <xdr:colOff>0</xdr:colOff>
      <xdr:row>30</xdr:row>
      <xdr:rowOff>0</xdr:rowOff>
    </xdr:from>
    <xdr:to>
      <xdr:col>10</xdr:col>
      <xdr:colOff>0</xdr:colOff>
      <xdr:row>31</xdr:row>
      <xdr:rowOff>0</xdr:rowOff>
    </xdr:to>
    <xdr:sp macro="" textlink="">
      <xdr:nvSpPr>
        <xdr:cNvPr id="16" name="正方形/長方形 15">
          <a:extLst>
            <a:ext uri="{FF2B5EF4-FFF2-40B4-BE49-F238E27FC236}">
              <a16:creationId xmlns:a16="http://schemas.microsoft.com/office/drawing/2014/main" id="{DFB558F3-A310-4019-A7FF-F5301DA717DA}"/>
            </a:ext>
          </a:extLst>
        </xdr:cNvPr>
        <xdr:cNvSpPr/>
      </xdr:nvSpPr>
      <xdr:spPr>
        <a:xfrm>
          <a:off x="8605838" y="12091988"/>
          <a:ext cx="147637" cy="223837"/>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9</xdr:col>
      <xdr:colOff>0</xdr:colOff>
      <xdr:row>26</xdr:row>
      <xdr:rowOff>4763</xdr:rowOff>
    </xdr:from>
    <xdr:to>
      <xdr:col>10</xdr:col>
      <xdr:colOff>0</xdr:colOff>
      <xdr:row>27</xdr:row>
      <xdr:rowOff>4764</xdr:rowOff>
    </xdr:to>
    <xdr:sp macro="" textlink="">
      <xdr:nvSpPr>
        <xdr:cNvPr id="17" name="正方形/長方形 16">
          <a:extLst>
            <a:ext uri="{FF2B5EF4-FFF2-40B4-BE49-F238E27FC236}">
              <a16:creationId xmlns:a16="http://schemas.microsoft.com/office/drawing/2014/main" id="{C44D11F1-1504-4ACE-BDEA-C79156F5215F}"/>
            </a:ext>
          </a:extLst>
        </xdr:cNvPr>
        <xdr:cNvSpPr/>
      </xdr:nvSpPr>
      <xdr:spPr>
        <a:xfrm>
          <a:off x="8605838" y="10977563"/>
          <a:ext cx="147637" cy="223839"/>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3</xdr:col>
      <xdr:colOff>0</xdr:colOff>
      <xdr:row>31</xdr:row>
      <xdr:rowOff>0</xdr:rowOff>
    </xdr:from>
    <xdr:to>
      <xdr:col>3</xdr:col>
      <xdr:colOff>116225</xdr:colOff>
      <xdr:row>32</xdr:row>
      <xdr:rowOff>0</xdr:rowOff>
    </xdr:to>
    <xdr:sp macro="" textlink="">
      <xdr:nvSpPr>
        <xdr:cNvPr id="18" name="正方形/長方形 17">
          <a:extLst>
            <a:ext uri="{FF2B5EF4-FFF2-40B4-BE49-F238E27FC236}">
              <a16:creationId xmlns:a16="http://schemas.microsoft.com/office/drawing/2014/main" id="{615BE77D-AB18-4C87-AB84-0131D3BBB00E}"/>
            </a:ext>
          </a:extLst>
        </xdr:cNvPr>
        <xdr:cNvSpPr/>
      </xdr:nvSpPr>
      <xdr:spPr>
        <a:xfrm>
          <a:off x="1109663" y="12315825"/>
          <a:ext cx="116225"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8</xdr:col>
      <xdr:colOff>707686</xdr:colOff>
      <xdr:row>31</xdr:row>
      <xdr:rowOff>0</xdr:rowOff>
    </xdr:from>
    <xdr:to>
      <xdr:col>9</xdr:col>
      <xdr:colOff>0</xdr:colOff>
      <xdr:row>32</xdr:row>
      <xdr:rowOff>0</xdr:rowOff>
    </xdr:to>
    <xdr:sp macro="" textlink="">
      <xdr:nvSpPr>
        <xdr:cNvPr id="19" name="正方形/長方形 18">
          <a:extLst>
            <a:ext uri="{FF2B5EF4-FFF2-40B4-BE49-F238E27FC236}">
              <a16:creationId xmlns:a16="http://schemas.microsoft.com/office/drawing/2014/main" id="{1B7F3FE4-8138-4E5B-BD3C-7291D7B0B563}"/>
            </a:ext>
          </a:extLst>
        </xdr:cNvPr>
        <xdr:cNvSpPr/>
      </xdr:nvSpPr>
      <xdr:spPr>
        <a:xfrm>
          <a:off x="8489611" y="12315825"/>
          <a:ext cx="116227"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7</xdr:col>
      <xdr:colOff>1615294</xdr:colOff>
      <xdr:row>32</xdr:row>
      <xdr:rowOff>123825</xdr:rowOff>
    </xdr:from>
    <xdr:to>
      <xdr:col>10</xdr:col>
      <xdr:colOff>0</xdr:colOff>
      <xdr:row>33</xdr:row>
      <xdr:rowOff>118569</xdr:rowOff>
    </xdr:to>
    <xdr:sp macro="" textlink="">
      <xdr:nvSpPr>
        <xdr:cNvPr id="20" name="正方形/長方形 19">
          <a:extLst>
            <a:ext uri="{FF2B5EF4-FFF2-40B4-BE49-F238E27FC236}">
              <a16:creationId xmlns:a16="http://schemas.microsoft.com/office/drawing/2014/main" id="{850ECEC9-6DBE-4E5E-BDB5-7EFB1E8AD6EA}"/>
            </a:ext>
          </a:extLst>
        </xdr:cNvPr>
        <xdr:cNvSpPr/>
      </xdr:nvSpPr>
      <xdr:spPr>
        <a:xfrm>
          <a:off x="7725582" y="12663488"/>
          <a:ext cx="1027893" cy="218581"/>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戻る</a:t>
          </a:r>
        </a:p>
      </xdr:txBody>
    </xdr:sp>
    <xdr:clientData/>
  </xdr:twoCellAnchor>
  <xdr:twoCellAnchor>
    <xdr:from>
      <xdr:col>9</xdr:col>
      <xdr:colOff>0</xdr:colOff>
      <xdr:row>47</xdr:row>
      <xdr:rowOff>0</xdr:rowOff>
    </xdr:from>
    <xdr:to>
      <xdr:col>10</xdr:col>
      <xdr:colOff>0</xdr:colOff>
      <xdr:row>48</xdr:row>
      <xdr:rowOff>0</xdr:rowOff>
    </xdr:to>
    <xdr:sp macro="" textlink="">
      <xdr:nvSpPr>
        <xdr:cNvPr id="23" name="正方形/長方形 22">
          <a:extLst>
            <a:ext uri="{FF2B5EF4-FFF2-40B4-BE49-F238E27FC236}">
              <a16:creationId xmlns:a16="http://schemas.microsoft.com/office/drawing/2014/main" id="{2DD4A5C8-2C58-440E-A471-7387711B8E4D}"/>
            </a:ext>
          </a:extLst>
        </xdr:cNvPr>
        <xdr:cNvSpPr/>
      </xdr:nvSpPr>
      <xdr:spPr>
        <a:xfrm>
          <a:off x="8605838" y="16187738"/>
          <a:ext cx="147637" cy="223837"/>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9</xdr:col>
      <xdr:colOff>0</xdr:colOff>
      <xdr:row>44</xdr:row>
      <xdr:rowOff>4763</xdr:rowOff>
    </xdr:from>
    <xdr:to>
      <xdr:col>10</xdr:col>
      <xdr:colOff>0</xdr:colOff>
      <xdr:row>45</xdr:row>
      <xdr:rowOff>0</xdr:rowOff>
    </xdr:to>
    <xdr:sp macro="" textlink="">
      <xdr:nvSpPr>
        <xdr:cNvPr id="24" name="正方形/長方形 23">
          <a:extLst>
            <a:ext uri="{FF2B5EF4-FFF2-40B4-BE49-F238E27FC236}">
              <a16:creationId xmlns:a16="http://schemas.microsoft.com/office/drawing/2014/main" id="{BEDDF17C-7FBF-4AA5-8A2B-CD3C82A76055}"/>
            </a:ext>
          </a:extLst>
        </xdr:cNvPr>
        <xdr:cNvSpPr/>
      </xdr:nvSpPr>
      <xdr:spPr>
        <a:xfrm>
          <a:off x="8605838" y="15297151"/>
          <a:ext cx="147637" cy="219074"/>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3</xdr:col>
      <xdr:colOff>0</xdr:colOff>
      <xdr:row>48</xdr:row>
      <xdr:rowOff>0</xdr:rowOff>
    </xdr:from>
    <xdr:to>
      <xdr:col>3</xdr:col>
      <xdr:colOff>116225</xdr:colOff>
      <xdr:row>49</xdr:row>
      <xdr:rowOff>0</xdr:rowOff>
    </xdr:to>
    <xdr:sp macro="" textlink="">
      <xdr:nvSpPr>
        <xdr:cNvPr id="25" name="正方形/長方形 24">
          <a:extLst>
            <a:ext uri="{FF2B5EF4-FFF2-40B4-BE49-F238E27FC236}">
              <a16:creationId xmlns:a16="http://schemas.microsoft.com/office/drawing/2014/main" id="{2B44A040-669F-4204-843B-7D26214EF975}"/>
            </a:ext>
          </a:extLst>
        </xdr:cNvPr>
        <xdr:cNvSpPr/>
      </xdr:nvSpPr>
      <xdr:spPr>
        <a:xfrm>
          <a:off x="1109663" y="16411575"/>
          <a:ext cx="116225"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8</xdr:col>
      <xdr:colOff>707686</xdr:colOff>
      <xdr:row>48</xdr:row>
      <xdr:rowOff>0</xdr:rowOff>
    </xdr:from>
    <xdr:to>
      <xdr:col>9</xdr:col>
      <xdr:colOff>0</xdr:colOff>
      <xdr:row>49</xdr:row>
      <xdr:rowOff>0</xdr:rowOff>
    </xdr:to>
    <xdr:sp macro="" textlink="">
      <xdr:nvSpPr>
        <xdr:cNvPr id="26" name="正方形/長方形 25">
          <a:extLst>
            <a:ext uri="{FF2B5EF4-FFF2-40B4-BE49-F238E27FC236}">
              <a16:creationId xmlns:a16="http://schemas.microsoft.com/office/drawing/2014/main" id="{336BF4DD-DABE-45CF-B4C5-B457770A416B}"/>
            </a:ext>
          </a:extLst>
        </xdr:cNvPr>
        <xdr:cNvSpPr/>
      </xdr:nvSpPr>
      <xdr:spPr>
        <a:xfrm>
          <a:off x="8489611" y="16411575"/>
          <a:ext cx="116227" cy="223838"/>
        </a:xfrm>
        <a:prstGeom prst="rect">
          <a:avLst/>
        </a:prstGeom>
        <a:solidFill>
          <a:schemeClr val="bg1">
            <a:lumMod val="75000"/>
          </a:schemeClr>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endParaRPr kumimoji="1" lang="ja-JP" altLang="en-US" sz="1100">
            <a:ln>
              <a:noFill/>
            </a:ln>
          </a:endParaRPr>
        </a:p>
      </xdr:txBody>
    </xdr:sp>
    <xdr:clientData/>
  </xdr:twoCellAnchor>
  <xdr:twoCellAnchor>
    <xdr:from>
      <xdr:col>7</xdr:col>
      <xdr:colOff>1615294</xdr:colOff>
      <xdr:row>49</xdr:row>
      <xdr:rowOff>123825</xdr:rowOff>
    </xdr:from>
    <xdr:to>
      <xdr:col>10</xdr:col>
      <xdr:colOff>0</xdr:colOff>
      <xdr:row>50</xdr:row>
      <xdr:rowOff>118569</xdr:rowOff>
    </xdr:to>
    <xdr:sp macro="" textlink="">
      <xdr:nvSpPr>
        <xdr:cNvPr id="27" name="正方形/長方形 26">
          <a:extLst>
            <a:ext uri="{FF2B5EF4-FFF2-40B4-BE49-F238E27FC236}">
              <a16:creationId xmlns:a16="http://schemas.microsoft.com/office/drawing/2014/main" id="{6C7BC215-282F-4D84-B9DE-30FD50B3E00E}"/>
            </a:ext>
          </a:extLst>
        </xdr:cNvPr>
        <xdr:cNvSpPr/>
      </xdr:nvSpPr>
      <xdr:spPr>
        <a:xfrm>
          <a:off x="7725582" y="16759238"/>
          <a:ext cx="1027893" cy="218581"/>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戻る</a:t>
          </a:r>
        </a:p>
      </xdr:txBody>
    </xdr:sp>
    <xdr:clientData/>
  </xdr:twoCellAnchor>
  <xdr:twoCellAnchor>
    <xdr:from>
      <xdr:col>7</xdr:col>
      <xdr:colOff>646044</xdr:colOff>
      <xdr:row>15</xdr:row>
      <xdr:rowOff>124239</xdr:rowOff>
    </xdr:from>
    <xdr:to>
      <xdr:col>7</xdr:col>
      <xdr:colOff>1470163</xdr:colOff>
      <xdr:row>16</xdr:row>
      <xdr:rowOff>118984</xdr:rowOff>
    </xdr:to>
    <xdr:sp macro="" textlink="">
      <xdr:nvSpPr>
        <xdr:cNvPr id="33" name="正方形/長方形 32">
          <a:extLst>
            <a:ext uri="{FF2B5EF4-FFF2-40B4-BE49-F238E27FC236}">
              <a16:creationId xmlns:a16="http://schemas.microsoft.com/office/drawing/2014/main" id="{A5021D02-7E11-48AB-85A7-01BAEB30827D}"/>
            </a:ext>
          </a:extLst>
        </xdr:cNvPr>
        <xdr:cNvSpPr/>
      </xdr:nvSpPr>
      <xdr:spPr>
        <a:xfrm>
          <a:off x="6756332" y="3791364"/>
          <a:ext cx="824119" cy="218583"/>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返却</a:t>
          </a:r>
        </a:p>
      </xdr:txBody>
    </xdr:sp>
    <xdr:clientData/>
  </xdr:twoCellAnchor>
  <xdr:twoCellAnchor>
    <xdr:from>
      <xdr:col>7</xdr:col>
      <xdr:colOff>666750</xdr:colOff>
      <xdr:row>32</xdr:row>
      <xdr:rowOff>124239</xdr:rowOff>
    </xdr:from>
    <xdr:to>
      <xdr:col>7</xdr:col>
      <xdr:colOff>1490869</xdr:colOff>
      <xdr:row>33</xdr:row>
      <xdr:rowOff>118983</xdr:rowOff>
    </xdr:to>
    <xdr:sp macro="" textlink="">
      <xdr:nvSpPr>
        <xdr:cNvPr id="43" name="正方形/長方形 42">
          <a:extLst>
            <a:ext uri="{FF2B5EF4-FFF2-40B4-BE49-F238E27FC236}">
              <a16:creationId xmlns:a16="http://schemas.microsoft.com/office/drawing/2014/main" id="{C9943518-6A99-46C2-9211-4C184143C083}"/>
            </a:ext>
          </a:extLst>
        </xdr:cNvPr>
        <xdr:cNvSpPr/>
      </xdr:nvSpPr>
      <xdr:spPr>
        <a:xfrm>
          <a:off x="6777038" y="12663902"/>
          <a:ext cx="824119" cy="218581"/>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en-US" sz="1100">
              <a:solidFill>
                <a:sysClr val="windowText" lastClr="000000"/>
              </a:solidFill>
            </a:rPr>
            <a:t>返却</a:t>
          </a:r>
        </a:p>
      </xdr:txBody>
    </xdr:sp>
    <xdr:clientData/>
  </xdr:twoCellAnchor>
  <xdr:twoCellAnchor>
    <xdr:from>
      <xdr:col>7</xdr:col>
      <xdr:colOff>683315</xdr:colOff>
      <xdr:row>49</xdr:row>
      <xdr:rowOff>120098</xdr:rowOff>
    </xdr:from>
    <xdr:to>
      <xdr:col>7</xdr:col>
      <xdr:colOff>1507434</xdr:colOff>
      <xdr:row>50</xdr:row>
      <xdr:rowOff>114843</xdr:rowOff>
    </xdr:to>
    <xdr:sp macro="" textlink="">
      <xdr:nvSpPr>
        <xdr:cNvPr id="44" name="正方形/長方形 43">
          <a:extLst>
            <a:ext uri="{FF2B5EF4-FFF2-40B4-BE49-F238E27FC236}">
              <a16:creationId xmlns:a16="http://schemas.microsoft.com/office/drawing/2014/main" id="{D5CBA973-991B-4032-BB39-730D154D0DF9}"/>
            </a:ext>
          </a:extLst>
        </xdr:cNvPr>
        <xdr:cNvSpPr/>
      </xdr:nvSpPr>
      <xdr:spPr>
        <a:xfrm>
          <a:off x="6793603" y="16755511"/>
          <a:ext cx="824119" cy="218582"/>
        </a:xfrm>
        <a:prstGeom prst="rect">
          <a:avLst/>
        </a:prstGeom>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solidFill>
            <a:sysClr val="windowText" lastClr="000000"/>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kumimoji="1" lang="ja-JP" altLang="ja-JP" sz="1100">
              <a:solidFill>
                <a:sysClr val="windowText" lastClr="000000"/>
              </a:solidFill>
              <a:effectLst/>
              <a:latin typeface="+mn-lt"/>
              <a:ea typeface="+mn-ea"/>
              <a:cs typeface="+mn-cs"/>
            </a:rPr>
            <a:t>返却</a:t>
          </a:r>
          <a:endParaRPr kumimoji="1" lang="ja-JP" altLang="en-US" sz="1100">
            <a:solidFill>
              <a:sysClr val="windowText" lastClr="000000"/>
            </a:solidFill>
          </a:endParaRPr>
        </a:p>
      </xdr:txBody>
    </xdr: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0</xdr:colOff>
          <xdr:row>2</xdr:row>
          <xdr:rowOff>0</xdr:rowOff>
        </xdr:from>
        <xdr:to>
          <xdr:col>11</xdr:col>
          <xdr:colOff>690563</xdr:colOff>
          <xdr:row>16</xdr:row>
          <xdr:rowOff>23813</xdr:rowOff>
        </xdr:to>
        <xdr:pic>
          <xdr:nvPicPr>
            <xdr:cNvPr id="13" name="図 12">
              <a:extLst>
                <a:ext uri="{FF2B5EF4-FFF2-40B4-BE49-F238E27FC236}">
                  <a16:creationId xmlns:a16="http://schemas.microsoft.com/office/drawing/2014/main" id="{DB28BD12-0160-7BE5-562C-BFD6459F0DC2}"/>
                </a:ext>
              </a:extLst>
            </xdr:cNvPr>
            <xdr:cNvPicPr>
              <a:picLocks noChangeAspect="1" noChangeArrowheads="1"/>
              <a:extLst>
                <a:ext uri="{84589F7E-364E-4C9E-8A38-B11213B215E9}">
                  <a14:cameraTool cellRange="備品返却画面!$C$4:$K$17" spid="_x0000_s33868"/>
                </a:ext>
              </a:extLst>
            </xdr:cNvPicPr>
          </xdr:nvPicPr>
          <xdr:blipFill>
            <a:blip xmlns:r="http://schemas.openxmlformats.org/officeDocument/2006/relationships" r:embed="rId1"/>
            <a:srcRect/>
            <a:stretch>
              <a:fillRect/>
            </a:stretch>
          </xdr:blipFill>
          <xdr:spPr bwMode="auto">
            <a:xfrm>
              <a:off x="942975" y="514350"/>
              <a:ext cx="8763001" cy="315753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3</xdr:col>
      <xdr:colOff>19050</xdr:colOff>
      <xdr:row>4</xdr:row>
      <xdr:rowOff>133352</xdr:rowOff>
    </xdr:from>
    <xdr:to>
      <xdr:col>3</xdr:col>
      <xdr:colOff>289917</xdr:colOff>
      <xdr:row>5</xdr:row>
      <xdr:rowOff>191097</xdr:rowOff>
    </xdr:to>
    <xdr:sp macro="" textlink="">
      <xdr:nvSpPr>
        <xdr:cNvPr id="3" name="正方形/長方形 2">
          <a:extLst>
            <a:ext uri="{FF2B5EF4-FFF2-40B4-BE49-F238E27FC236}">
              <a16:creationId xmlns:a16="http://schemas.microsoft.com/office/drawing/2014/main" id="{D0360E85-9646-4D3A-BA5C-4DC4C7E58C8C}"/>
            </a:ext>
          </a:extLst>
        </xdr:cNvPr>
        <xdr:cNvSpPr/>
      </xdr:nvSpPr>
      <xdr:spPr>
        <a:xfrm>
          <a:off x="2166938" y="1095377"/>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1</a:t>
          </a:r>
          <a:endParaRPr kumimoji="1" lang="ja-JP" altLang="en-US" sz="1100"/>
        </a:p>
      </xdr:txBody>
    </xdr:sp>
    <xdr:clientData/>
  </xdr:twoCellAnchor>
  <xdr:twoCellAnchor editAs="oneCell">
    <xdr:from>
      <xdr:col>3</xdr:col>
      <xdr:colOff>351233</xdr:colOff>
      <xdr:row>6</xdr:row>
      <xdr:rowOff>72032</xdr:rowOff>
    </xdr:from>
    <xdr:to>
      <xdr:col>4</xdr:col>
      <xdr:colOff>23298</xdr:colOff>
      <xdr:row>7</xdr:row>
      <xdr:rowOff>129777</xdr:rowOff>
    </xdr:to>
    <xdr:sp macro="" textlink="">
      <xdr:nvSpPr>
        <xdr:cNvPr id="4" name="正方形/長方形 3">
          <a:extLst>
            <a:ext uri="{FF2B5EF4-FFF2-40B4-BE49-F238E27FC236}">
              <a16:creationId xmlns:a16="http://schemas.microsoft.com/office/drawing/2014/main" id="{75CC00A2-1E92-4F03-AA58-650062DE47A1}"/>
            </a:ext>
          </a:extLst>
        </xdr:cNvPr>
        <xdr:cNvSpPr/>
      </xdr:nvSpPr>
      <xdr:spPr>
        <a:xfrm>
          <a:off x="2499121" y="1481732"/>
          <a:ext cx="26737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2</a:t>
          </a:r>
          <a:endParaRPr kumimoji="1" lang="ja-JP" altLang="en-US" sz="1100"/>
        </a:p>
      </xdr:txBody>
    </xdr:sp>
    <xdr:clientData/>
  </xdr:twoCellAnchor>
  <xdr:twoCellAnchor editAs="oneCell">
    <xdr:from>
      <xdr:col>5</xdr:col>
      <xdr:colOff>504824</xdr:colOff>
      <xdr:row>6</xdr:row>
      <xdr:rowOff>57152</xdr:rowOff>
    </xdr:from>
    <xdr:to>
      <xdr:col>5</xdr:col>
      <xdr:colOff>775691</xdr:colOff>
      <xdr:row>7</xdr:row>
      <xdr:rowOff>114897</xdr:rowOff>
    </xdr:to>
    <xdr:sp macro="" textlink="">
      <xdr:nvSpPr>
        <xdr:cNvPr id="5" name="正方形/長方形 4">
          <a:extLst>
            <a:ext uri="{FF2B5EF4-FFF2-40B4-BE49-F238E27FC236}">
              <a16:creationId xmlns:a16="http://schemas.microsoft.com/office/drawing/2014/main" id="{A22A770B-D0A8-4D51-BD7A-F48C9A526485}"/>
            </a:ext>
          </a:extLst>
        </xdr:cNvPr>
        <xdr:cNvSpPr/>
      </xdr:nvSpPr>
      <xdr:spPr>
        <a:xfrm>
          <a:off x="4452937" y="1466852"/>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3</a:t>
          </a:r>
          <a:endParaRPr kumimoji="1" lang="ja-JP" altLang="en-US" sz="1100"/>
        </a:p>
      </xdr:txBody>
    </xdr:sp>
    <xdr:clientData/>
  </xdr:twoCellAnchor>
  <xdr:twoCellAnchor editAs="oneCell">
    <xdr:from>
      <xdr:col>7</xdr:col>
      <xdr:colOff>164903</xdr:colOff>
      <xdr:row>6</xdr:row>
      <xdr:rowOff>54173</xdr:rowOff>
    </xdr:from>
    <xdr:to>
      <xdr:col>7</xdr:col>
      <xdr:colOff>436365</xdr:colOff>
      <xdr:row>7</xdr:row>
      <xdr:rowOff>111918</xdr:rowOff>
    </xdr:to>
    <xdr:sp macro="" textlink="">
      <xdr:nvSpPr>
        <xdr:cNvPr id="6" name="正方形/長方形 5">
          <a:extLst>
            <a:ext uri="{FF2B5EF4-FFF2-40B4-BE49-F238E27FC236}">
              <a16:creationId xmlns:a16="http://schemas.microsoft.com/office/drawing/2014/main" id="{D93FD8B6-17E0-4558-8564-095A677AA3FD}"/>
            </a:ext>
          </a:extLst>
        </xdr:cNvPr>
        <xdr:cNvSpPr/>
      </xdr:nvSpPr>
      <xdr:spPr>
        <a:xfrm>
          <a:off x="5517953" y="1463873"/>
          <a:ext cx="271462"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4</a:t>
          </a:r>
          <a:endParaRPr kumimoji="1" lang="ja-JP" altLang="en-US" sz="1100"/>
        </a:p>
      </xdr:txBody>
    </xdr:sp>
    <xdr:clientData/>
  </xdr:twoCellAnchor>
  <xdr:twoCellAnchor editAs="oneCell">
    <xdr:from>
      <xdr:col>8</xdr:col>
      <xdr:colOff>473274</xdr:colOff>
      <xdr:row>6</xdr:row>
      <xdr:rowOff>45244</xdr:rowOff>
    </xdr:from>
    <xdr:to>
      <xdr:col>8</xdr:col>
      <xdr:colOff>744141</xdr:colOff>
      <xdr:row>7</xdr:row>
      <xdr:rowOff>102989</xdr:rowOff>
    </xdr:to>
    <xdr:sp macro="" textlink="">
      <xdr:nvSpPr>
        <xdr:cNvPr id="7" name="正方形/長方形 6">
          <a:extLst>
            <a:ext uri="{FF2B5EF4-FFF2-40B4-BE49-F238E27FC236}">
              <a16:creationId xmlns:a16="http://schemas.microsoft.com/office/drawing/2014/main" id="{6214E72F-7605-4E65-9548-FCDF50747672}"/>
            </a:ext>
          </a:extLst>
        </xdr:cNvPr>
        <xdr:cNvSpPr/>
      </xdr:nvSpPr>
      <xdr:spPr>
        <a:xfrm>
          <a:off x="6316862" y="1454944"/>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5</a:t>
          </a:r>
          <a:endParaRPr kumimoji="1" lang="ja-JP" altLang="en-US" sz="1100"/>
        </a:p>
      </xdr:txBody>
    </xdr:sp>
    <xdr:clientData/>
  </xdr:twoCellAnchor>
  <xdr:twoCellAnchor editAs="oneCell">
    <xdr:from>
      <xdr:col>9</xdr:col>
      <xdr:colOff>606623</xdr:colOff>
      <xdr:row>6</xdr:row>
      <xdr:rowOff>33340</xdr:rowOff>
    </xdr:from>
    <xdr:to>
      <xdr:col>9</xdr:col>
      <xdr:colOff>877490</xdr:colOff>
      <xdr:row>7</xdr:row>
      <xdr:rowOff>91085</xdr:rowOff>
    </xdr:to>
    <xdr:sp macro="" textlink="">
      <xdr:nvSpPr>
        <xdr:cNvPr id="8" name="正方形/長方形 7">
          <a:extLst>
            <a:ext uri="{FF2B5EF4-FFF2-40B4-BE49-F238E27FC236}">
              <a16:creationId xmlns:a16="http://schemas.microsoft.com/office/drawing/2014/main" id="{C4401CF2-5BD2-47ED-9889-79FE4B25D515}"/>
            </a:ext>
          </a:extLst>
        </xdr:cNvPr>
        <xdr:cNvSpPr/>
      </xdr:nvSpPr>
      <xdr:spPr>
        <a:xfrm>
          <a:off x="7507486" y="1443040"/>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6</a:t>
          </a:r>
        </a:p>
      </xdr:txBody>
    </xdr:sp>
    <xdr:clientData/>
  </xdr:twoCellAnchor>
  <xdr:twoCellAnchor editAs="oneCell">
    <xdr:from>
      <xdr:col>10</xdr:col>
      <xdr:colOff>412552</xdr:colOff>
      <xdr:row>6</xdr:row>
      <xdr:rowOff>19052</xdr:rowOff>
    </xdr:from>
    <xdr:to>
      <xdr:col>10</xdr:col>
      <xdr:colOff>683419</xdr:colOff>
      <xdr:row>7</xdr:row>
      <xdr:rowOff>76797</xdr:rowOff>
    </xdr:to>
    <xdr:sp macro="" textlink="">
      <xdr:nvSpPr>
        <xdr:cNvPr id="9" name="正方形/長方形 8">
          <a:extLst>
            <a:ext uri="{FF2B5EF4-FFF2-40B4-BE49-F238E27FC236}">
              <a16:creationId xmlns:a16="http://schemas.microsoft.com/office/drawing/2014/main" id="{BACF6DC9-D0C4-44A4-A621-3CBCA94F9166}"/>
            </a:ext>
          </a:extLst>
        </xdr:cNvPr>
        <xdr:cNvSpPr/>
      </xdr:nvSpPr>
      <xdr:spPr>
        <a:xfrm>
          <a:off x="8370690" y="1428752"/>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7</a:t>
          </a:r>
        </a:p>
      </xdr:txBody>
    </xdr:sp>
    <xdr:clientData/>
  </xdr:twoCellAnchor>
  <xdr:twoCellAnchor>
    <xdr:from>
      <xdr:col>11</xdr:col>
      <xdr:colOff>1019174</xdr:colOff>
      <xdr:row>6</xdr:row>
      <xdr:rowOff>133351</xdr:rowOff>
    </xdr:from>
    <xdr:to>
      <xdr:col>12</xdr:col>
      <xdr:colOff>4100512</xdr:colOff>
      <xdr:row>16</xdr:row>
      <xdr:rowOff>219076</xdr:rowOff>
    </xdr:to>
    <xdr:sp macro="" textlink="">
      <xdr:nvSpPr>
        <xdr:cNvPr id="10" name="吹き出し: 四角形 9">
          <a:extLst>
            <a:ext uri="{FF2B5EF4-FFF2-40B4-BE49-F238E27FC236}">
              <a16:creationId xmlns:a16="http://schemas.microsoft.com/office/drawing/2014/main" id="{78CA7099-9C7F-4753-B47F-37FC52BBC2FC}"/>
            </a:ext>
          </a:extLst>
        </xdr:cNvPr>
        <xdr:cNvSpPr/>
      </xdr:nvSpPr>
      <xdr:spPr>
        <a:xfrm>
          <a:off x="10034587" y="1543051"/>
          <a:ext cx="7200900" cy="2324100"/>
        </a:xfrm>
        <a:prstGeom prst="wedgeRectCallout">
          <a:avLst>
            <a:gd name="adj1" fmla="val -62135"/>
            <a:gd name="adj2" fmla="val -21967"/>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a:t>＜画面仕様＞</a:t>
          </a:r>
          <a:endParaRPr kumimoji="1" lang="en-US" altLang="ja-JP" sz="1100"/>
        </a:p>
        <a:p>
          <a:pPr algn="l"/>
          <a:r>
            <a:rPr kumimoji="1" lang="ja-JP" altLang="en-US" sz="1100"/>
            <a:t>・遷移元の備品詳細画面に表示していた備品の貸出中のデータを抽出して一覧表示する。</a:t>
          </a:r>
          <a:endParaRPr kumimoji="1" lang="en-US" altLang="ja-JP" sz="1100"/>
        </a:p>
        <a:p>
          <a:pPr algn="l"/>
          <a:r>
            <a:rPr kumimoji="1" lang="ja-JP" altLang="en-US" sz="1100"/>
            <a:t>　（左図はセキュリティカードを選択した場合のもの）</a:t>
          </a:r>
          <a:endParaRPr kumimoji="1" lang="en-US" altLang="ja-JP" sz="1100"/>
        </a:p>
        <a:p>
          <a:pPr algn="l"/>
          <a:r>
            <a:rPr kumimoji="1" lang="ja-JP" altLang="en-US" sz="1100"/>
            <a:t>・画面表示に収まりきらない場合はスクロールバーを表示してスクロール可能にする。</a:t>
          </a:r>
          <a:endParaRPr kumimoji="1" lang="en-US" altLang="ja-JP" sz="1100"/>
        </a:p>
        <a:p>
          <a:pPr algn="l"/>
          <a:r>
            <a:rPr kumimoji="1" lang="ja-JP" altLang="en-US" sz="1100"/>
            <a:t>・返却ボタン押下時、返却にチェックのあるデータを対象に返却処理を行う。</a:t>
          </a:r>
          <a:endParaRPr kumimoji="1" lang="en-US" altLang="ja-JP" sz="1100"/>
        </a:p>
        <a:p>
          <a:pPr algn="l"/>
          <a:r>
            <a:rPr kumimoji="1" lang="ja-JP" altLang="en-US" sz="1100"/>
            <a:t>　</a:t>
          </a:r>
          <a:r>
            <a:rPr kumimoji="1" lang="en-US" altLang="ja-JP" sz="1100"/>
            <a:t>※</a:t>
          </a:r>
          <a:r>
            <a:rPr kumimoji="1" lang="ja-JP" altLang="en-US" sz="1100"/>
            <a:t>返却処理では、既存データの更新（返却日・最終所在確認日の入力）のほか、</a:t>
          </a:r>
          <a:endParaRPr kumimoji="1" lang="en-US" altLang="ja-JP" sz="1100"/>
        </a:p>
        <a:p>
          <a:pPr algn="l"/>
          <a:r>
            <a:rPr kumimoji="1" lang="ja-JP" altLang="en-US" sz="1100"/>
            <a:t>　　新規登録（シリアルナンバー、最終所在確認日の入力）を行う。</a:t>
          </a:r>
          <a:endParaRPr kumimoji="1" lang="en-US" altLang="ja-JP" sz="1100"/>
        </a:p>
        <a:p>
          <a:pPr algn="l"/>
          <a:r>
            <a:rPr kumimoji="1" lang="ja-JP" altLang="en-US" sz="1100"/>
            <a:t>・返却処理の際、可能であればトランザクション処理を組み込み、返却対象の全データの登録が成功したときのみコミットすること。（途中で失敗した場合はロールバックすること。）</a:t>
          </a:r>
          <a:endParaRPr kumimoji="1" lang="en-US" altLang="ja-JP" sz="1100"/>
        </a:p>
      </xdr:txBody>
    </xdr:sp>
    <xdr:clientData/>
  </xdr:twoCellAnchor>
  <xdr:twoCellAnchor editAs="oneCell">
    <xdr:from>
      <xdr:col>9</xdr:col>
      <xdr:colOff>581025</xdr:colOff>
      <xdr:row>15</xdr:row>
      <xdr:rowOff>71438</xdr:rowOff>
    </xdr:from>
    <xdr:to>
      <xdr:col>9</xdr:col>
      <xdr:colOff>851892</xdr:colOff>
      <xdr:row>16</xdr:row>
      <xdr:rowOff>129184</xdr:rowOff>
    </xdr:to>
    <xdr:sp macro="" textlink="">
      <xdr:nvSpPr>
        <xdr:cNvPr id="11" name="正方形/長方形 10">
          <a:extLst>
            <a:ext uri="{FF2B5EF4-FFF2-40B4-BE49-F238E27FC236}">
              <a16:creationId xmlns:a16="http://schemas.microsoft.com/office/drawing/2014/main" id="{B3C12CA1-2D68-438C-9507-1271FE1B5E13}"/>
            </a:ext>
          </a:extLst>
        </xdr:cNvPr>
        <xdr:cNvSpPr/>
      </xdr:nvSpPr>
      <xdr:spPr>
        <a:xfrm>
          <a:off x="7481888" y="3495676"/>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8</a:t>
          </a:r>
        </a:p>
      </xdr:txBody>
    </xdr:sp>
    <xdr:clientData/>
  </xdr:twoCellAnchor>
  <xdr:twoCellAnchor editAs="oneCell">
    <xdr:from>
      <xdr:col>10</xdr:col>
      <xdr:colOff>733425</xdr:colOff>
      <xdr:row>15</xdr:row>
      <xdr:rowOff>90488</xdr:rowOff>
    </xdr:from>
    <xdr:to>
      <xdr:col>10</xdr:col>
      <xdr:colOff>1004292</xdr:colOff>
      <xdr:row>16</xdr:row>
      <xdr:rowOff>148234</xdr:rowOff>
    </xdr:to>
    <xdr:sp macro="" textlink="">
      <xdr:nvSpPr>
        <xdr:cNvPr id="12" name="正方形/長方形 11">
          <a:extLst>
            <a:ext uri="{FF2B5EF4-FFF2-40B4-BE49-F238E27FC236}">
              <a16:creationId xmlns:a16="http://schemas.microsoft.com/office/drawing/2014/main" id="{642634C5-EC91-4282-B54B-297C8BE5C28F}"/>
            </a:ext>
          </a:extLst>
        </xdr:cNvPr>
        <xdr:cNvSpPr/>
      </xdr:nvSpPr>
      <xdr:spPr>
        <a:xfrm>
          <a:off x="8691563" y="3514726"/>
          <a:ext cx="270867" cy="281583"/>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kumimoji="1" lang="en-US" altLang="ja-JP" sz="1100"/>
            <a:t>98</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7334F-809B-4ECE-9727-449B6E58470B}">
  <dimension ref="E3:AL20"/>
  <sheetViews>
    <sheetView showGridLines="0" zoomScaleNormal="100" workbookViewId="0">
      <selection activeCell="Q11" sqref="Q11:AF11"/>
    </sheetView>
  </sheetViews>
  <sheetFormatPr defaultColWidth="2.75" defaultRowHeight="20.149999999999999" customHeight="1"/>
  <sheetData>
    <row r="3" spans="5:38" ht="20.149999999999999" customHeight="1" thickBot="1"/>
    <row r="4" spans="5:38" ht="20.149999999999999" customHeight="1">
      <c r="E4" s="58" t="s">
        <v>0</v>
      </c>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60"/>
    </row>
    <row r="5" spans="5:38" ht="20.149999999999999" customHeight="1">
      <c r="E5" s="61"/>
      <c r="F5" s="62"/>
      <c r="G5" s="62"/>
      <c r="H5" s="62"/>
      <c r="I5" s="62"/>
      <c r="J5" s="62"/>
      <c r="K5" s="62"/>
      <c r="L5" s="62"/>
      <c r="M5" s="62"/>
      <c r="N5" s="62"/>
      <c r="O5" s="62"/>
      <c r="P5" s="62"/>
      <c r="Q5" s="62"/>
      <c r="R5" s="62"/>
      <c r="S5" s="62"/>
      <c r="T5" s="62"/>
      <c r="U5" s="62"/>
      <c r="V5" s="62"/>
      <c r="W5" s="62"/>
      <c r="X5" s="62"/>
      <c r="Y5" s="62"/>
      <c r="Z5" s="62"/>
      <c r="AA5" s="62"/>
      <c r="AB5" s="62"/>
      <c r="AC5" s="62"/>
      <c r="AD5" s="62"/>
      <c r="AE5" s="62"/>
      <c r="AF5" s="62"/>
      <c r="AG5" s="62"/>
      <c r="AH5" s="62"/>
      <c r="AI5" s="62"/>
      <c r="AJ5" s="62"/>
      <c r="AK5" s="62"/>
      <c r="AL5" s="63"/>
    </row>
    <row r="6" spans="5:38" ht="20.149999999999999" customHeight="1">
      <c r="E6" s="61"/>
      <c r="F6" s="62"/>
      <c r="G6" s="62"/>
      <c r="H6" s="62"/>
      <c r="I6" s="62"/>
      <c r="J6" s="62"/>
      <c r="K6" s="62"/>
      <c r="L6" s="62"/>
      <c r="M6" s="62"/>
      <c r="N6" s="62"/>
      <c r="O6" s="62"/>
      <c r="P6" s="62"/>
      <c r="Q6" s="62"/>
      <c r="R6" s="62"/>
      <c r="S6" s="62"/>
      <c r="T6" s="62"/>
      <c r="U6" s="62"/>
      <c r="V6" s="62"/>
      <c r="W6" s="62"/>
      <c r="X6" s="62"/>
      <c r="Y6" s="62"/>
      <c r="Z6" s="62"/>
      <c r="AA6" s="62"/>
      <c r="AB6" s="62"/>
      <c r="AC6" s="62"/>
      <c r="AD6" s="62"/>
      <c r="AE6" s="62"/>
      <c r="AF6" s="62"/>
      <c r="AG6" s="62"/>
      <c r="AH6" s="62"/>
      <c r="AI6" s="62"/>
      <c r="AJ6" s="62"/>
      <c r="AK6" s="62"/>
      <c r="AL6" s="63"/>
    </row>
    <row r="7" spans="5:38" ht="20.149999999999999" customHeight="1" thickBot="1">
      <c r="E7" s="64"/>
      <c r="F7" s="65"/>
      <c r="G7" s="65"/>
      <c r="H7" s="65"/>
      <c r="I7" s="65"/>
      <c r="J7" s="65"/>
      <c r="K7" s="65"/>
      <c r="L7" s="65"/>
      <c r="M7" s="65"/>
      <c r="N7" s="65"/>
      <c r="O7" s="65"/>
      <c r="P7" s="65"/>
      <c r="Q7" s="65"/>
      <c r="R7" s="65"/>
      <c r="S7" s="65"/>
      <c r="T7" s="65"/>
      <c r="U7" s="65"/>
      <c r="V7" s="65"/>
      <c r="W7" s="65"/>
      <c r="X7" s="65"/>
      <c r="Y7" s="65"/>
      <c r="Z7" s="65"/>
      <c r="AA7" s="65"/>
      <c r="AB7" s="65"/>
      <c r="AC7" s="65"/>
      <c r="AD7" s="65"/>
      <c r="AE7" s="65"/>
      <c r="AF7" s="65"/>
      <c r="AG7" s="65"/>
      <c r="AH7" s="65"/>
      <c r="AI7" s="65"/>
      <c r="AJ7" s="65"/>
      <c r="AK7" s="65"/>
      <c r="AL7" s="66"/>
    </row>
    <row r="8" spans="5:38" ht="20.149999999999999" customHeight="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row>
    <row r="10" spans="5:38" ht="20.149999999999999" customHeight="1">
      <c r="K10" s="67" t="s">
        <v>1</v>
      </c>
      <c r="L10" s="67"/>
      <c r="M10" s="67"/>
      <c r="N10" s="67"/>
      <c r="O10" s="67"/>
      <c r="P10" s="67"/>
      <c r="Q10" s="68" t="s">
        <v>2</v>
      </c>
      <c r="R10" s="68"/>
      <c r="S10" s="68"/>
      <c r="T10" s="68"/>
      <c r="U10" s="68"/>
      <c r="V10" s="68"/>
      <c r="W10" s="68"/>
      <c r="X10" s="68"/>
      <c r="Y10" s="68"/>
      <c r="Z10" s="68"/>
      <c r="AA10" s="68"/>
      <c r="AB10" s="68"/>
      <c r="AC10" s="68"/>
      <c r="AD10" s="68"/>
      <c r="AE10" s="68"/>
      <c r="AF10" s="68"/>
    </row>
    <row r="11" spans="5:38" ht="20.149999999999999" customHeight="1">
      <c r="K11" s="67" t="s">
        <v>3</v>
      </c>
      <c r="L11" s="67"/>
      <c r="M11" s="67"/>
      <c r="N11" s="67"/>
      <c r="O11" s="67"/>
      <c r="P11" s="67"/>
      <c r="Q11" s="69">
        <v>44727</v>
      </c>
      <c r="R11" s="68"/>
      <c r="S11" s="68"/>
      <c r="T11" s="68"/>
      <c r="U11" s="68"/>
      <c r="V11" s="68"/>
      <c r="W11" s="68"/>
      <c r="X11" s="68"/>
      <c r="Y11" s="68"/>
      <c r="Z11" s="68"/>
      <c r="AA11" s="68"/>
      <c r="AB11" s="68"/>
      <c r="AC11" s="68"/>
      <c r="AD11" s="68"/>
      <c r="AE11" s="68"/>
      <c r="AF11" s="68"/>
    </row>
    <row r="12" spans="5:38" ht="20.149999999999999" customHeight="1">
      <c r="K12" s="70" t="s">
        <v>4</v>
      </c>
      <c r="L12" s="70"/>
      <c r="M12" s="70"/>
      <c r="N12" s="70"/>
      <c r="O12" s="70"/>
      <c r="P12" s="70"/>
      <c r="Q12" s="69">
        <f ca="1">TODAY()</f>
        <v>46049</v>
      </c>
      <c r="R12" s="68"/>
      <c r="S12" s="68"/>
      <c r="T12" s="68"/>
      <c r="U12" s="68"/>
      <c r="V12" s="68"/>
      <c r="W12" s="68"/>
      <c r="X12" s="68"/>
      <c r="Y12" s="68"/>
      <c r="Z12" s="68"/>
      <c r="AA12" s="68"/>
      <c r="AB12" s="68"/>
      <c r="AC12" s="68"/>
      <c r="AD12" s="68"/>
      <c r="AE12" s="68"/>
      <c r="AF12" s="68"/>
    </row>
    <row r="19" spans="13:29" ht="20.149999999999999" customHeight="1">
      <c r="M19" s="57" t="s">
        <v>5</v>
      </c>
      <c r="N19" s="57"/>
      <c r="O19" s="57"/>
      <c r="P19" s="57"/>
      <c r="Q19" s="57"/>
      <c r="R19" s="57"/>
      <c r="S19" s="57"/>
      <c r="T19" s="57"/>
      <c r="U19" s="57"/>
      <c r="V19" s="57"/>
      <c r="W19" s="57"/>
      <c r="X19" s="57"/>
      <c r="Y19" s="57"/>
      <c r="Z19" s="57"/>
      <c r="AA19" s="57"/>
      <c r="AB19" s="57"/>
      <c r="AC19" s="57"/>
    </row>
    <row r="20" spans="13:29" ht="20.149999999999999" customHeight="1">
      <c r="M20" s="57"/>
      <c r="N20" s="57"/>
      <c r="O20" s="57"/>
      <c r="P20" s="57"/>
      <c r="Q20" s="57"/>
      <c r="R20" s="57"/>
      <c r="S20" s="57"/>
      <c r="T20" s="57"/>
      <c r="U20" s="57"/>
      <c r="V20" s="57"/>
      <c r="W20" s="57"/>
      <c r="X20" s="57"/>
      <c r="Y20" s="57"/>
      <c r="Z20" s="57"/>
      <c r="AA20" s="57"/>
      <c r="AB20" s="57"/>
      <c r="AC20" s="57"/>
    </row>
  </sheetData>
  <mergeCells count="8">
    <mergeCell ref="M19:AC20"/>
    <mergeCell ref="E4:AL7"/>
    <mergeCell ref="K10:P10"/>
    <mergeCell ref="Q10:AF10"/>
    <mergeCell ref="K11:P11"/>
    <mergeCell ref="Q11:AF11"/>
    <mergeCell ref="K12:P12"/>
    <mergeCell ref="Q12:AF12"/>
  </mergeCells>
  <phoneticPr fontId="2"/>
  <pageMargins left="0.7" right="0.7" top="0.75" bottom="0.75" header="0.3" footer="0.3"/>
  <pageSetup paperSize="9" scale="7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6CFDB-5D80-49C5-80BE-9F36E9B9F11E}">
  <dimension ref="A1:E26"/>
  <sheetViews>
    <sheetView showGridLines="0" workbookViewId="0"/>
  </sheetViews>
  <sheetFormatPr defaultRowHeight="18"/>
  <cols>
    <col min="2" max="3" width="10.08203125" style="19" bestFit="1" customWidth="1"/>
    <col min="4" max="4" width="46.25" customWidth="1"/>
    <col min="5" max="5" width="15.83203125" bestFit="1" customWidth="1"/>
  </cols>
  <sheetData>
    <row r="1" spans="1:5" ht="22.5">
      <c r="A1" s="4" t="str">
        <f ca="1">RIGHT(CELL("filename",A1),LEN(CELL("filename",A1))-FIND("]",CELL("filename",A1)))</f>
        <v>改訂履歴</v>
      </c>
    </row>
    <row r="3" spans="1:5" ht="36">
      <c r="B3" s="21" t="s">
        <v>6</v>
      </c>
      <c r="C3" s="22" t="s">
        <v>7</v>
      </c>
      <c r="D3" s="23" t="s">
        <v>8</v>
      </c>
      <c r="E3" s="23" t="s">
        <v>9</v>
      </c>
    </row>
    <row r="4" spans="1:5">
      <c r="B4" s="3" t="s">
        <v>10</v>
      </c>
      <c r="C4" s="20">
        <v>44728</v>
      </c>
      <c r="D4" s="5" t="s">
        <v>11</v>
      </c>
      <c r="E4" s="5" t="s">
        <v>12</v>
      </c>
    </row>
    <row r="5" spans="1:5" ht="36">
      <c r="B5" s="3" t="s">
        <v>13</v>
      </c>
      <c r="C5" s="20">
        <v>44734</v>
      </c>
      <c r="D5" s="51" t="s">
        <v>14</v>
      </c>
      <c r="E5" s="5" t="s">
        <v>12</v>
      </c>
    </row>
    <row r="6" spans="1:5" ht="36">
      <c r="B6" s="3" t="s">
        <v>15</v>
      </c>
      <c r="C6" s="20">
        <v>44741</v>
      </c>
      <c r="D6" s="51" t="s">
        <v>16</v>
      </c>
      <c r="E6" s="5" t="s">
        <v>12</v>
      </c>
    </row>
    <row r="7" spans="1:5" ht="36">
      <c r="B7" s="3" t="s">
        <v>191</v>
      </c>
      <c r="C7" s="20">
        <v>46038</v>
      </c>
      <c r="D7" s="51" t="s">
        <v>192</v>
      </c>
      <c r="E7" s="5" t="s">
        <v>12</v>
      </c>
    </row>
    <row r="8" spans="1:5">
      <c r="B8" s="3"/>
      <c r="C8" s="3"/>
      <c r="D8" s="5"/>
      <c r="E8" s="5"/>
    </row>
    <row r="9" spans="1:5">
      <c r="B9" s="3"/>
      <c r="C9" s="3"/>
      <c r="D9" s="5"/>
      <c r="E9" s="5"/>
    </row>
    <row r="10" spans="1:5">
      <c r="B10" s="3"/>
      <c r="C10" s="3"/>
      <c r="D10" s="5"/>
      <c r="E10" s="5"/>
    </row>
    <row r="11" spans="1:5">
      <c r="B11" s="3"/>
      <c r="C11" s="3"/>
      <c r="D11" s="5"/>
      <c r="E11" s="5"/>
    </row>
    <row r="12" spans="1:5">
      <c r="B12" s="3"/>
      <c r="C12" s="3"/>
      <c r="D12" s="5"/>
      <c r="E12" s="5"/>
    </row>
    <row r="13" spans="1:5">
      <c r="B13" s="3"/>
      <c r="C13" s="3"/>
      <c r="D13" s="5"/>
      <c r="E13" s="5"/>
    </row>
    <row r="14" spans="1:5">
      <c r="B14" s="3"/>
      <c r="C14" s="3"/>
      <c r="D14" s="5"/>
      <c r="E14" s="5"/>
    </row>
    <row r="15" spans="1:5">
      <c r="B15" s="3"/>
      <c r="C15" s="3"/>
      <c r="D15" s="5"/>
      <c r="E15" s="5"/>
    </row>
    <row r="16" spans="1:5">
      <c r="B16" s="3"/>
      <c r="C16" s="3"/>
      <c r="D16" s="5"/>
      <c r="E16" s="5"/>
    </row>
    <row r="17" spans="2:5">
      <c r="B17" s="3"/>
      <c r="C17" s="3"/>
      <c r="D17" s="5"/>
      <c r="E17" s="5"/>
    </row>
    <row r="18" spans="2:5">
      <c r="B18" s="3"/>
      <c r="C18" s="3"/>
      <c r="D18" s="5"/>
      <c r="E18" s="5"/>
    </row>
    <row r="19" spans="2:5">
      <c r="B19" s="3"/>
      <c r="C19" s="3"/>
      <c r="D19" s="5"/>
      <c r="E19" s="5"/>
    </row>
    <row r="20" spans="2:5">
      <c r="B20" s="3"/>
      <c r="C20" s="3"/>
      <c r="D20" s="5"/>
      <c r="E20" s="5"/>
    </row>
    <row r="21" spans="2:5">
      <c r="B21" s="3"/>
      <c r="C21" s="3"/>
      <c r="D21" s="5"/>
      <c r="E21" s="5"/>
    </row>
    <row r="22" spans="2:5">
      <c r="B22" s="3"/>
      <c r="C22" s="3"/>
      <c r="D22" s="5"/>
      <c r="E22" s="5"/>
    </row>
    <row r="23" spans="2:5">
      <c r="B23" s="3"/>
      <c r="C23" s="3"/>
      <c r="D23" s="5"/>
      <c r="E23" s="5"/>
    </row>
    <row r="24" spans="2:5">
      <c r="B24" s="3"/>
      <c r="C24" s="3"/>
      <c r="D24" s="5"/>
      <c r="E24" s="5"/>
    </row>
    <row r="25" spans="2:5">
      <c r="B25" s="3"/>
      <c r="C25" s="3"/>
      <c r="D25" s="5"/>
      <c r="E25" s="5"/>
    </row>
    <row r="26" spans="2:5">
      <c r="B26" s="3"/>
      <c r="C26" s="3"/>
      <c r="D26" s="5"/>
      <c r="E26" s="5"/>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BC12A-F583-4ED0-BDF3-BCCBBACD3238}">
  <dimension ref="A1:B4"/>
  <sheetViews>
    <sheetView showGridLines="0" zoomScaleNormal="100" workbookViewId="0">
      <selection activeCell="B4" sqref="B4"/>
    </sheetView>
  </sheetViews>
  <sheetFormatPr defaultRowHeight="18"/>
  <cols>
    <col min="1" max="1" width="3.5" customWidth="1"/>
  </cols>
  <sheetData>
    <row r="1" spans="1:2" ht="22.5">
      <c r="A1" s="4" t="str">
        <f ca="1">RIGHT(CELL("filename",A1),LEN(CELL("filename",A1))-FIND("]",CELL("filename",A1)))</f>
        <v>はじめに</v>
      </c>
    </row>
    <row r="3" spans="1:2">
      <c r="B3" t="s">
        <v>17</v>
      </c>
    </row>
    <row r="4" spans="1:2">
      <c r="B4" t="s">
        <v>18</v>
      </c>
    </row>
  </sheetData>
  <phoneticPr fontId="2"/>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CD48A-C5D8-4136-A50F-67122F0E4146}">
  <dimension ref="A1"/>
  <sheetViews>
    <sheetView showGridLines="0" workbookViewId="0">
      <selection activeCell="H26" sqref="H26"/>
    </sheetView>
  </sheetViews>
  <sheetFormatPr defaultRowHeight="18"/>
  <sheetData>
    <row r="1" spans="1:1" ht="22.5">
      <c r="A1" s="4" t="str">
        <f ca="1">RIGHT(CELL("filename",A1),LEN(CELL("filename",A1))-FIND("]",CELL("filename",A1)))</f>
        <v>画面遷移図</v>
      </c>
    </row>
  </sheetData>
  <phoneticPr fontId="2"/>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B4ED0-C451-4190-A51B-0623FDDACD5E}">
  <dimension ref="A1:J19"/>
  <sheetViews>
    <sheetView showGridLines="0" workbookViewId="0">
      <selection activeCell="K23" sqref="K23"/>
    </sheetView>
  </sheetViews>
  <sheetFormatPr defaultRowHeight="18"/>
  <cols>
    <col min="1" max="1" width="5.58203125" customWidth="1"/>
    <col min="2" max="2" width="3.33203125" customWidth="1"/>
    <col min="3" max="3" width="4.25" customWidth="1"/>
    <col min="4" max="4" width="17.75" bestFit="1" customWidth="1"/>
    <col min="5" max="6" width="4.75" bestFit="1" customWidth="1"/>
    <col min="7" max="8" width="4.75" customWidth="1"/>
    <col min="9" max="9" width="2.75" customWidth="1"/>
    <col min="10" max="10" width="5.08203125" customWidth="1"/>
  </cols>
  <sheetData>
    <row r="1" spans="1:10" ht="22.5">
      <c r="A1" s="4" t="str">
        <f ca="1">RIGHT(CELL("filename",A1),LEN(CELL("filename",A1))-FIND("]",CELL("filename",A1)))</f>
        <v>備品一覧画面</v>
      </c>
    </row>
    <row r="3" spans="1:10" ht="18.5" thickBot="1">
      <c r="B3" t="s">
        <v>19</v>
      </c>
    </row>
    <row r="4" spans="1:10">
      <c r="C4" s="8"/>
      <c r="D4" s="9"/>
      <c r="E4" s="9"/>
      <c r="F4" s="9"/>
      <c r="G4" s="9"/>
      <c r="H4" s="9"/>
      <c r="I4" s="9"/>
      <c r="J4" s="10"/>
    </row>
    <row r="5" spans="1:10">
      <c r="C5" s="11"/>
      <c r="D5" s="12" t="s">
        <v>20</v>
      </c>
      <c r="J5" s="13"/>
    </row>
    <row r="6" spans="1:10" ht="18.5" thickBot="1">
      <c r="C6" s="11"/>
      <c r="J6" s="13"/>
    </row>
    <row r="7" spans="1:10" ht="18.5" thickBot="1">
      <c r="C7" s="11"/>
      <c r="D7" s="6" t="s">
        <v>21</v>
      </c>
      <c r="E7" s="6" t="s">
        <v>22</v>
      </c>
      <c r="F7" s="6" t="s">
        <v>23</v>
      </c>
      <c r="G7" s="7" t="s">
        <v>24</v>
      </c>
      <c r="H7" s="7" t="s">
        <v>25</v>
      </c>
      <c r="I7" s="30"/>
      <c r="J7" s="13"/>
    </row>
    <row r="8" spans="1:10">
      <c r="C8" s="11"/>
      <c r="D8" s="17" t="s">
        <v>26</v>
      </c>
      <c r="E8" s="5">
        <v>15</v>
      </c>
      <c r="F8" s="5">
        <v>5</v>
      </c>
      <c r="G8" s="5">
        <v>0</v>
      </c>
      <c r="H8" s="28">
        <v>20</v>
      </c>
      <c r="I8" s="32"/>
      <c r="J8" s="13"/>
    </row>
    <row r="9" spans="1:10">
      <c r="C9" s="11"/>
      <c r="D9" s="17" t="s">
        <v>27</v>
      </c>
      <c r="E9" s="5">
        <v>15</v>
      </c>
      <c r="F9" s="5">
        <v>5</v>
      </c>
      <c r="G9" s="5">
        <v>0</v>
      </c>
      <c r="H9" s="28">
        <v>20</v>
      </c>
      <c r="I9" s="29"/>
      <c r="J9" s="13"/>
    </row>
    <row r="10" spans="1:10">
      <c r="C10" s="11"/>
      <c r="D10" s="17" t="s">
        <v>28</v>
      </c>
      <c r="E10" s="5">
        <v>15</v>
      </c>
      <c r="F10" s="5">
        <v>5</v>
      </c>
      <c r="G10" s="5">
        <v>0</v>
      </c>
      <c r="H10" s="28">
        <v>20</v>
      </c>
      <c r="I10" s="29"/>
      <c r="J10" s="13"/>
    </row>
    <row r="11" spans="1:10">
      <c r="C11" s="11"/>
      <c r="D11" s="17" t="s">
        <v>29</v>
      </c>
      <c r="E11" s="5">
        <v>15</v>
      </c>
      <c r="F11" s="5">
        <v>5</v>
      </c>
      <c r="G11" s="5">
        <v>0</v>
      </c>
      <c r="H11" s="28">
        <v>20</v>
      </c>
      <c r="I11" s="29"/>
      <c r="J11" s="13"/>
    </row>
    <row r="12" spans="1:10">
      <c r="C12" s="11"/>
      <c r="D12" s="17" t="s">
        <v>30</v>
      </c>
      <c r="E12" s="5">
        <v>15</v>
      </c>
      <c r="F12" s="5">
        <v>5</v>
      </c>
      <c r="G12" s="5">
        <v>0</v>
      </c>
      <c r="H12" s="28">
        <v>20</v>
      </c>
      <c r="I12" s="29"/>
      <c r="J12" s="13"/>
    </row>
    <row r="13" spans="1:10">
      <c r="C13" s="11"/>
      <c r="D13" s="17" t="s">
        <v>31</v>
      </c>
      <c r="E13" s="5">
        <v>15</v>
      </c>
      <c r="F13" s="5">
        <v>5</v>
      </c>
      <c r="G13" s="5">
        <v>0</v>
      </c>
      <c r="H13" s="28">
        <v>20</v>
      </c>
      <c r="I13" s="29"/>
      <c r="J13" s="13"/>
    </row>
    <row r="14" spans="1:10">
      <c r="C14" s="11"/>
      <c r="D14" s="17" t="s">
        <v>32</v>
      </c>
      <c r="E14" s="5">
        <v>15</v>
      </c>
      <c r="F14" s="5">
        <v>5</v>
      </c>
      <c r="G14" s="5">
        <v>0</v>
      </c>
      <c r="H14" s="28">
        <v>20</v>
      </c>
      <c r="I14" s="29"/>
      <c r="J14" s="13"/>
    </row>
    <row r="15" spans="1:10">
      <c r="C15" s="11"/>
      <c r="D15" s="17" t="s">
        <v>33</v>
      </c>
      <c r="E15" s="5">
        <v>15</v>
      </c>
      <c r="F15" s="5">
        <v>5</v>
      </c>
      <c r="G15" s="5">
        <v>0</v>
      </c>
      <c r="H15" s="28">
        <v>20</v>
      </c>
      <c r="I15" s="29"/>
      <c r="J15" s="13"/>
    </row>
    <row r="16" spans="1:10">
      <c r="C16" s="11"/>
      <c r="D16" s="17" t="s">
        <v>34</v>
      </c>
      <c r="E16" s="5">
        <v>15</v>
      </c>
      <c r="F16" s="5">
        <v>5</v>
      </c>
      <c r="G16" s="5">
        <v>0</v>
      </c>
      <c r="H16" s="28">
        <v>20</v>
      </c>
      <c r="I16" s="29"/>
      <c r="J16" s="13"/>
    </row>
    <row r="17" spans="3:10" ht="18.5" thickBot="1">
      <c r="C17" s="11"/>
      <c r="D17" s="17" t="s">
        <v>35</v>
      </c>
      <c r="E17" s="5">
        <v>15</v>
      </c>
      <c r="F17" s="5">
        <v>5</v>
      </c>
      <c r="G17" s="5">
        <v>0</v>
      </c>
      <c r="H17" s="28">
        <v>20</v>
      </c>
      <c r="I17" s="31"/>
      <c r="J17" s="13"/>
    </row>
    <row r="18" spans="3:10">
      <c r="C18" s="11"/>
      <c r="J18" s="13"/>
    </row>
    <row r="19" spans="3:10" ht="18.5" thickBot="1">
      <c r="C19" s="14"/>
      <c r="D19" s="15"/>
      <c r="E19" s="15"/>
      <c r="F19" s="15"/>
      <c r="G19" s="15"/>
      <c r="H19" s="15"/>
      <c r="I19" s="15"/>
      <c r="J19" s="16"/>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A0EDA-1FE0-47CF-B3AA-00835D9E4265}">
  <dimension ref="A1:J27"/>
  <sheetViews>
    <sheetView showGridLines="0" zoomScaleNormal="100" workbookViewId="0">
      <selection activeCell="P12" sqref="P12"/>
    </sheetView>
  </sheetViews>
  <sheetFormatPr defaultRowHeight="18"/>
  <cols>
    <col min="1" max="1" width="5.58203125" customWidth="1"/>
    <col min="2" max="2" width="3.33203125" customWidth="1"/>
    <col min="5" max="5" width="12" bestFit="1" customWidth="1"/>
    <col min="6" max="7" width="6.5" bestFit="1" customWidth="1"/>
    <col min="8" max="8" width="8.25" customWidth="1"/>
    <col min="9" max="9" width="35" bestFit="1" customWidth="1"/>
    <col min="10" max="10" width="49.25" bestFit="1" customWidth="1"/>
  </cols>
  <sheetData>
    <row r="1" spans="1:1" ht="22.5">
      <c r="A1" s="4" t="str">
        <f ca="1">RIGHT(CELL("filename",A1),LEN(CELL("filename",A1))-FIND("]",CELL("filename",A1)))</f>
        <v>備品一覧画面（項目一覧）</v>
      </c>
    </row>
    <row r="22" spans="2:10">
      <c r="B22" s="18" t="s">
        <v>36</v>
      </c>
      <c r="C22" s="18" t="s">
        <v>37</v>
      </c>
      <c r="D22" s="18" t="s">
        <v>38</v>
      </c>
      <c r="E22" s="18" t="s">
        <v>39</v>
      </c>
      <c r="F22" s="18" t="s">
        <v>40</v>
      </c>
      <c r="G22" s="18" t="s">
        <v>41</v>
      </c>
      <c r="H22" s="18" t="s">
        <v>42</v>
      </c>
      <c r="I22" s="18" t="s">
        <v>8</v>
      </c>
      <c r="J22" s="18" t="s">
        <v>43</v>
      </c>
    </row>
    <row r="23" spans="2:10" ht="36">
      <c r="B23" s="2">
        <v>1</v>
      </c>
      <c r="C23" s="2" t="s">
        <v>21</v>
      </c>
      <c r="D23" s="2" t="s">
        <v>44</v>
      </c>
      <c r="E23" s="2">
        <v>20</v>
      </c>
      <c r="F23" s="25" t="s">
        <v>45</v>
      </c>
      <c r="G23" s="25" t="s">
        <v>45</v>
      </c>
      <c r="H23" s="25" t="s">
        <v>45</v>
      </c>
      <c r="I23" s="26" t="s">
        <v>46</v>
      </c>
      <c r="J23" s="26" t="s">
        <v>47</v>
      </c>
    </row>
    <row r="24" spans="2:10">
      <c r="B24" s="2">
        <v>2</v>
      </c>
      <c r="C24" s="2" t="s">
        <v>22</v>
      </c>
      <c r="D24" s="2" t="s">
        <v>48</v>
      </c>
      <c r="E24" s="2">
        <v>4</v>
      </c>
      <c r="F24" s="2">
        <v>0</v>
      </c>
      <c r="G24" s="2">
        <v>9999</v>
      </c>
      <c r="H24" s="2" t="s">
        <v>49</v>
      </c>
      <c r="I24" s="27" t="s">
        <v>50</v>
      </c>
      <c r="J24" s="27" t="s">
        <v>51</v>
      </c>
    </row>
    <row r="25" spans="2:10">
      <c r="B25" s="2">
        <v>3</v>
      </c>
      <c r="C25" s="2" t="s">
        <v>23</v>
      </c>
      <c r="D25" s="2" t="s">
        <v>48</v>
      </c>
      <c r="E25" s="2">
        <v>4</v>
      </c>
      <c r="F25" s="2">
        <v>0</v>
      </c>
      <c r="G25" s="2">
        <v>9999</v>
      </c>
      <c r="H25" s="2" t="s">
        <v>49</v>
      </c>
      <c r="I25" s="27" t="s">
        <v>52</v>
      </c>
      <c r="J25" s="27" t="s">
        <v>53</v>
      </c>
    </row>
    <row r="26" spans="2:10">
      <c r="B26" s="2">
        <v>4</v>
      </c>
      <c r="C26" s="2" t="s">
        <v>24</v>
      </c>
      <c r="D26" s="2" t="s">
        <v>48</v>
      </c>
      <c r="E26" s="2">
        <v>4</v>
      </c>
      <c r="F26" s="2">
        <v>0</v>
      </c>
      <c r="G26" s="2">
        <v>9999</v>
      </c>
      <c r="H26" s="2" t="s">
        <v>49</v>
      </c>
      <c r="I26" s="27" t="s">
        <v>54</v>
      </c>
      <c r="J26" s="27" t="s">
        <v>55</v>
      </c>
    </row>
    <row r="27" spans="2:10">
      <c r="B27" s="2">
        <v>5</v>
      </c>
      <c r="C27" s="2" t="s">
        <v>25</v>
      </c>
      <c r="D27" s="2" t="s">
        <v>48</v>
      </c>
      <c r="E27" s="2">
        <v>5</v>
      </c>
      <c r="F27" s="2">
        <v>0</v>
      </c>
      <c r="G27" s="2">
        <v>99999</v>
      </c>
      <c r="H27" s="2" t="s">
        <v>49</v>
      </c>
      <c r="I27" s="27" t="s">
        <v>56</v>
      </c>
      <c r="J27" s="27" t="s">
        <v>57</v>
      </c>
    </row>
  </sheetData>
  <phoneticPr fontId="2"/>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D071B-9B24-44F6-9334-7869D0F3B36A}">
  <dimension ref="A1:C43"/>
  <sheetViews>
    <sheetView showGridLines="0" tabSelected="1" topLeftCell="A24" workbookViewId="0">
      <selection activeCell="L61" sqref="L61"/>
    </sheetView>
  </sheetViews>
  <sheetFormatPr defaultColWidth="3.58203125" defaultRowHeight="18"/>
  <sheetData>
    <row r="1" spans="1:3" ht="22.5">
      <c r="A1" s="4" t="str">
        <f ca="1">RIGHT(CELL("filename",A1),LEN(CELL("filename",A1))-FIND("]",CELL("filename",A1)))</f>
        <v>備品詳細画面</v>
      </c>
    </row>
    <row r="3" spans="1:3">
      <c r="B3" t="s">
        <v>19</v>
      </c>
    </row>
    <row r="4" spans="1:3">
      <c r="C4" t="s">
        <v>58</v>
      </c>
    </row>
    <row r="23" spans="2:3">
      <c r="B23" t="s">
        <v>59</v>
      </c>
    </row>
    <row r="25" spans="2:3">
      <c r="C25" t="s">
        <v>60</v>
      </c>
    </row>
    <row r="43" spans="3:3">
      <c r="C43" t="s">
        <v>61</v>
      </c>
    </row>
  </sheetData>
  <phoneticPr fontId="2"/>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02FA9-44D6-4FBA-8136-7E2964E0B38E}">
  <dimension ref="A1:J31"/>
  <sheetViews>
    <sheetView showGridLines="0" zoomScaleNormal="100" workbookViewId="0">
      <selection activeCell="C24" sqref="C24"/>
    </sheetView>
  </sheetViews>
  <sheetFormatPr defaultRowHeight="18"/>
  <cols>
    <col min="2" max="2" width="3.33203125" bestFit="1" customWidth="1"/>
    <col min="3" max="3" width="15.83203125" bestFit="1" customWidth="1"/>
    <col min="4" max="4" width="6.83203125" bestFit="1" customWidth="1"/>
    <col min="5" max="5" width="12" bestFit="1" customWidth="1"/>
    <col min="6" max="7" width="6.5" bestFit="1" customWidth="1"/>
    <col min="8" max="8" width="13.83203125" bestFit="1" customWidth="1"/>
    <col min="9" max="9" width="54.08203125" bestFit="1" customWidth="1"/>
    <col min="10" max="10" width="60.5" customWidth="1"/>
  </cols>
  <sheetData>
    <row r="1" spans="1:1" ht="22.5">
      <c r="A1" s="4" t="str">
        <f ca="1">RIGHT(CELL("filename",A1),LEN(CELL("filename",A1))-FIND("]",CELL("filename",A1)))</f>
        <v>備品詳細画面（項目一覧）</v>
      </c>
    </row>
    <row r="20" spans="2:10">
      <c r="B20" s="18" t="s">
        <v>36</v>
      </c>
      <c r="C20" s="18" t="s">
        <v>37</v>
      </c>
      <c r="D20" s="18" t="s">
        <v>38</v>
      </c>
      <c r="E20" s="18" t="s">
        <v>39</v>
      </c>
      <c r="F20" s="18" t="s">
        <v>40</v>
      </c>
      <c r="G20" s="18" t="s">
        <v>41</v>
      </c>
      <c r="H20" s="18" t="s">
        <v>42</v>
      </c>
      <c r="I20" s="18" t="s">
        <v>8</v>
      </c>
      <c r="J20" s="18" t="s">
        <v>43</v>
      </c>
    </row>
    <row r="21" spans="2:10" ht="36">
      <c r="B21" s="2">
        <v>1</v>
      </c>
      <c r="C21" s="2" t="s">
        <v>21</v>
      </c>
      <c r="D21" s="2" t="s">
        <v>44</v>
      </c>
      <c r="E21" s="2">
        <v>100</v>
      </c>
      <c r="F21" s="25" t="s">
        <v>45</v>
      </c>
      <c r="G21" s="25" t="s">
        <v>45</v>
      </c>
      <c r="H21" s="25" t="s">
        <v>45</v>
      </c>
      <c r="I21" s="26" t="s">
        <v>62</v>
      </c>
      <c r="J21" s="26" t="s">
        <v>63</v>
      </c>
    </row>
    <row r="22" spans="2:10">
      <c r="B22" s="2">
        <v>2</v>
      </c>
      <c r="C22" s="2" t="s">
        <v>64</v>
      </c>
      <c r="D22" s="2" t="s">
        <v>44</v>
      </c>
      <c r="E22" s="2">
        <v>20</v>
      </c>
      <c r="F22" s="25" t="s">
        <v>45</v>
      </c>
      <c r="G22" s="25" t="s">
        <v>45</v>
      </c>
      <c r="H22" s="25" t="s">
        <v>45</v>
      </c>
      <c r="I22" s="27" t="s">
        <v>65</v>
      </c>
      <c r="J22" s="27"/>
    </row>
    <row r="23" spans="2:10">
      <c r="B23" s="2">
        <v>3</v>
      </c>
      <c r="C23" s="2" t="s">
        <v>66</v>
      </c>
      <c r="D23" s="2" t="s">
        <v>44</v>
      </c>
      <c r="E23" s="2">
        <v>20</v>
      </c>
      <c r="F23" s="25" t="s">
        <v>45</v>
      </c>
      <c r="G23" s="25" t="s">
        <v>45</v>
      </c>
      <c r="H23" s="25" t="s">
        <v>45</v>
      </c>
      <c r="I23" s="27" t="s">
        <v>67</v>
      </c>
      <c r="J23" s="27"/>
    </row>
    <row r="24" spans="2:10" ht="72">
      <c r="B24" s="2">
        <v>4</v>
      </c>
      <c r="C24" s="2" t="s">
        <v>68</v>
      </c>
      <c r="D24" s="2" t="s">
        <v>44</v>
      </c>
      <c r="E24" s="2">
        <v>3</v>
      </c>
      <c r="F24" s="25" t="s">
        <v>45</v>
      </c>
      <c r="G24" s="25" t="s">
        <v>45</v>
      </c>
      <c r="H24" s="25" t="s">
        <v>45</v>
      </c>
      <c r="I24" s="26" t="s">
        <v>69</v>
      </c>
      <c r="J24" s="26" t="s">
        <v>70</v>
      </c>
    </row>
    <row r="25" spans="2:10">
      <c r="B25" s="2">
        <v>5</v>
      </c>
      <c r="C25" s="2" t="s">
        <v>71</v>
      </c>
      <c r="D25" s="2" t="s">
        <v>72</v>
      </c>
      <c r="E25" s="2">
        <v>10</v>
      </c>
      <c r="F25" s="25" t="s">
        <v>45</v>
      </c>
      <c r="G25" s="25" t="s">
        <v>45</v>
      </c>
      <c r="H25" s="25" t="s">
        <v>73</v>
      </c>
      <c r="I25" s="27" t="s">
        <v>74</v>
      </c>
      <c r="J25" s="27"/>
    </row>
    <row r="26" spans="2:10">
      <c r="B26" s="2">
        <v>6</v>
      </c>
      <c r="C26" s="2" t="s">
        <v>75</v>
      </c>
      <c r="D26" s="2" t="s">
        <v>72</v>
      </c>
      <c r="E26" s="2">
        <v>10</v>
      </c>
      <c r="F26" s="25" t="s">
        <v>45</v>
      </c>
      <c r="G26" s="25" t="s">
        <v>45</v>
      </c>
      <c r="H26" s="25" t="s">
        <v>73</v>
      </c>
      <c r="I26" s="27" t="s">
        <v>76</v>
      </c>
      <c r="J26" s="27"/>
    </row>
    <row r="27" spans="2:10">
      <c r="B27" s="2">
        <v>7</v>
      </c>
      <c r="C27" s="2" t="s">
        <v>77</v>
      </c>
      <c r="D27" s="2" t="s">
        <v>72</v>
      </c>
      <c r="E27" s="2">
        <v>10</v>
      </c>
      <c r="F27" s="25" t="s">
        <v>45</v>
      </c>
      <c r="G27" s="25" t="s">
        <v>45</v>
      </c>
      <c r="H27" s="25" t="s">
        <v>73</v>
      </c>
      <c r="I27" s="27" t="s">
        <v>78</v>
      </c>
      <c r="J27" s="27"/>
    </row>
    <row r="28" spans="2:10" ht="36">
      <c r="B28" s="2">
        <v>8</v>
      </c>
      <c r="C28" s="2" t="s">
        <v>43</v>
      </c>
      <c r="D28" s="2" t="s">
        <v>44</v>
      </c>
      <c r="E28" s="2">
        <v>4000</v>
      </c>
      <c r="F28" s="25" t="s">
        <v>45</v>
      </c>
      <c r="G28" s="25" t="s">
        <v>45</v>
      </c>
      <c r="H28" s="25" t="s">
        <v>45</v>
      </c>
      <c r="I28" s="27" t="s">
        <v>79</v>
      </c>
      <c r="J28" s="26" t="s">
        <v>80</v>
      </c>
    </row>
    <row r="29" spans="2:10">
      <c r="B29" s="2">
        <v>9</v>
      </c>
      <c r="C29" s="2" t="s">
        <v>22</v>
      </c>
      <c r="D29" s="25" t="s">
        <v>45</v>
      </c>
      <c r="E29" s="25" t="s">
        <v>45</v>
      </c>
      <c r="F29" s="25" t="s">
        <v>45</v>
      </c>
      <c r="G29" s="25" t="s">
        <v>45</v>
      </c>
      <c r="H29" s="25" t="s">
        <v>45</v>
      </c>
      <c r="I29" s="27" t="s">
        <v>81</v>
      </c>
      <c r="J29" s="26"/>
    </row>
    <row r="30" spans="2:10">
      <c r="B30" s="2">
        <v>10</v>
      </c>
      <c r="C30" s="2" t="s">
        <v>82</v>
      </c>
      <c r="D30" s="25" t="s">
        <v>45</v>
      </c>
      <c r="E30" s="25" t="s">
        <v>45</v>
      </c>
      <c r="F30" s="25" t="s">
        <v>45</v>
      </c>
      <c r="G30" s="25" t="s">
        <v>45</v>
      </c>
      <c r="H30" s="25" t="s">
        <v>45</v>
      </c>
      <c r="I30" s="27" t="s">
        <v>83</v>
      </c>
      <c r="J30" s="26"/>
    </row>
    <row r="31" spans="2:10">
      <c r="B31" s="2">
        <v>11</v>
      </c>
      <c r="C31" s="2" t="s">
        <v>84</v>
      </c>
      <c r="D31" s="25" t="s">
        <v>45</v>
      </c>
      <c r="E31" s="25" t="s">
        <v>45</v>
      </c>
      <c r="F31" s="25" t="s">
        <v>45</v>
      </c>
      <c r="G31" s="25" t="s">
        <v>45</v>
      </c>
      <c r="H31" s="25" t="s">
        <v>45</v>
      </c>
      <c r="I31" s="27" t="s">
        <v>85</v>
      </c>
      <c r="J31" s="26"/>
    </row>
  </sheetData>
  <phoneticPr fontId="2"/>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8A3DD-FA1C-4036-AAF0-28E4601A492D}">
  <sheetPr>
    <tabColor theme="0" tint="-0.499984740745262"/>
  </sheetPr>
  <dimension ref="A1:P18"/>
  <sheetViews>
    <sheetView showGridLines="0" zoomScaleNormal="100" workbookViewId="0">
      <selection activeCell="I23" sqref="I23"/>
    </sheetView>
  </sheetViews>
  <sheetFormatPr defaultRowHeight="18"/>
  <cols>
    <col min="1" max="1" width="5.58203125" customWidth="1"/>
    <col min="2" max="2" width="3.33203125" customWidth="1"/>
    <col min="3" max="3" width="5.58203125" customWidth="1"/>
    <col min="4" max="4" width="25.58203125" bestFit="1" customWidth="1"/>
    <col min="5" max="5" width="8.25" bestFit="1" customWidth="1"/>
    <col min="6" max="6" width="8.33203125" bestFit="1" customWidth="1"/>
    <col min="7" max="7" width="10.25" bestFit="1" customWidth="1"/>
    <col min="8" max="8" width="10.83203125" bestFit="1" customWidth="1"/>
    <col min="9" max="9" width="14.08203125" bestFit="1" customWidth="1"/>
    <col min="10" max="10" width="10.33203125" bestFit="1" customWidth="1"/>
    <col min="11" max="11" width="8.33203125" bestFit="1" customWidth="1"/>
    <col min="12" max="12" width="8.25" bestFit="1" customWidth="1"/>
    <col min="13" max="13" width="16" bestFit="1" customWidth="1"/>
    <col min="14" max="14" width="17.75" bestFit="1" customWidth="1"/>
    <col min="15" max="15" width="2" customWidth="1"/>
  </cols>
  <sheetData>
    <row r="1" spans="1:16" ht="22.5">
      <c r="A1" s="4" t="str">
        <f ca="1">RIGHT(CELL("filename",A1),LEN(CELL("filename",A1))-FIND("]",CELL("filename",A1)))</f>
        <v>備品詳細画面（パソコン）</v>
      </c>
    </row>
    <row r="3" spans="1:16">
      <c r="C3" t="s">
        <v>19</v>
      </c>
    </row>
    <row r="4" spans="1:16">
      <c r="C4" s="34"/>
      <c r="D4" s="35"/>
      <c r="E4" s="35"/>
      <c r="F4" s="35"/>
      <c r="G4" s="35"/>
      <c r="H4" s="35"/>
      <c r="I4" s="35"/>
      <c r="J4" s="35"/>
      <c r="K4" s="35"/>
      <c r="L4" s="35"/>
      <c r="M4" s="35"/>
      <c r="N4" s="35"/>
      <c r="O4" s="35"/>
      <c r="P4" s="36"/>
    </row>
    <row r="5" spans="1:16" ht="22.5">
      <c r="C5" s="37"/>
      <c r="D5" s="4" t="s">
        <v>86</v>
      </c>
      <c r="P5" s="38"/>
    </row>
    <row r="6" spans="1:16">
      <c r="C6" s="37"/>
      <c r="P6" s="38"/>
    </row>
    <row r="7" spans="1:16">
      <c r="C7" s="37"/>
      <c r="D7" t="s">
        <v>27</v>
      </c>
      <c r="P7" s="38"/>
    </row>
    <row r="8" spans="1:16">
      <c r="C8" s="37"/>
      <c r="P8" s="38"/>
    </row>
    <row r="9" spans="1:16">
      <c r="C9" s="37"/>
      <c r="D9" s="33" t="s">
        <v>64</v>
      </c>
      <c r="E9" s="33" t="s">
        <v>66</v>
      </c>
      <c r="F9" s="33" t="s">
        <v>68</v>
      </c>
      <c r="G9" s="33" t="s">
        <v>71</v>
      </c>
      <c r="H9" s="33" t="s">
        <v>75</v>
      </c>
      <c r="I9" s="33" t="s">
        <v>77</v>
      </c>
      <c r="J9" s="33" t="s">
        <v>87</v>
      </c>
      <c r="K9" s="33" t="s">
        <v>88</v>
      </c>
      <c r="L9" s="33" t="s">
        <v>89</v>
      </c>
      <c r="M9" s="33" t="s">
        <v>90</v>
      </c>
      <c r="N9" s="33" t="s">
        <v>43</v>
      </c>
      <c r="P9" s="38"/>
    </row>
    <row r="10" spans="1:16">
      <c r="C10" s="37"/>
      <c r="D10" s="3" t="s">
        <v>91</v>
      </c>
      <c r="E10" s="3" t="s">
        <v>92</v>
      </c>
      <c r="F10" s="3" t="s">
        <v>93</v>
      </c>
      <c r="G10" s="20">
        <v>44728</v>
      </c>
      <c r="H10" s="20">
        <v>44926</v>
      </c>
      <c r="I10" s="20">
        <v>44728</v>
      </c>
      <c r="J10" s="3" t="s">
        <v>94</v>
      </c>
      <c r="K10" s="3" t="s">
        <v>95</v>
      </c>
      <c r="L10" s="3" t="s">
        <v>96</v>
      </c>
      <c r="M10" s="20">
        <v>45016</v>
      </c>
      <c r="N10" s="5"/>
      <c r="O10" s="44"/>
      <c r="P10" s="38"/>
    </row>
    <row r="11" spans="1:16">
      <c r="C11" s="37"/>
      <c r="D11" s="3" t="s">
        <v>91</v>
      </c>
      <c r="E11" s="3" t="s">
        <v>97</v>
      </c>
      <c r="F11" s="3" t="s">
        <v>98</v>
      </c>
      <c r="G11" s="24" t="s">
        <v>45</v>
      </c>
      <c r="H11" s="24" t="s">
        <v>45</v>
      </c>
      <c r="I11" s="20">
        <v>44728</v>
      </c>
      <c r="J11" s="3" t="s">
        <v>94</v>
      </c>
      <c r="K11" s="3" t="s">
        <v>95</v>
      </c>
      <c r="L11" s="3" t="s">
        <v>99</v>
      </c>
      <c r="M11" s="24" t="s">
        <v>45</v>
      </c>
      <c r="N11" s="5" t="s">
        <v>100</v>
      </c>
      <c r="O11" s="45"/>
      <c r="P11" s="38"/>
    </row>
    <row r="12" spans="1:16">
      <c r="C12" s="37"/>
      <c r="D12" s="3" t="s">
        <v>91</v>
      </c>
      <c r="E12" s="3" t="s">
        <v>97</v>
      </c>
      <c r="F12" s="3" t="s">
        <v>101</v>
      </c>
      <c r="G12" s="24" t="s">
        <v>45</v>
      </c>
      <c r="H12" s="24" t="s">
        <v>45</v>
      </c>
      <c r="I12" s="20">
        <v>44728</v>
      </c>
      <c r="J12" s="3" t="s">
        <v>94</v>
      </c>
      <c r="K12" s="3" t="s">
        <v>95</v>
      </c>
      <c r="L12" s="3" t="s">
        <v>99</v>
      </c>
      <c r="M12" s="24" t="s">
        <v>45</v>
      </c>
      <c r="N12" s="5" t="s">
        <v>102</v>
      </c>
      <c r="O12" s="45"/>
      <c r="P12" s="38"/>
    </row>
    <row r="13" spans="1:16">
      <c r="C13" s="37"/>
      <c r="D13" s="5"/>
      <c r="E13" s="5"/>
      <c r="F13" s="5"/>
      <c r="G13" s="5"/>
      <c r="H13" s="5"/>
      <c r="I13" s="5"/>
      <c r="J13" s="5"/>
      <c r="K13" s="5"/>
      <c r="L13" s="5"/>
      <c r="M13" s="5"/>
      <c r="N13" s="5"/>
      <c r="O13" s="45"/>
      <c r="P13" s="38"/>
    </row>
    <row r="14" spans="1:16">
      <c r="C14" s="37"/>
      <c r="D14" s="5"/>
      <c r="E14" s="5"/>
      <c r="F14" s="5"/>
      <c r="G14" s="5"/>
      <c r="H14" s="5"/>
      <c r="I14" s="5"/>
      <c r="J14" s="5"/>
      <c r="K14" s="5"/>
      <c r="L14" s="5"/>
      <c r="M14" s="5"/>
      <c r="N14" s="5"/>
      <c r="O14" s="45"/>
      <c r="P14" s="38"/>
    </row>
    <row r="15" spans="1:16">
      <c r="C15" s="37"/>
      <c r="D15" s="5"/>
      <c r="E15" s="5"/>
      <c r="F15" s="5"/>
      <c r="G15" s="5"/>
      <c r="H15" s="5"/>
      <c r="I15" s="5"/>
      <c r="J15" s="5"/>
      <c r="K15" s="5"/>
      <c r="L15" s="5"/>
      <c r="M15" s="5"/>
      <c r="N15" s="5"/>
      <c r="O15" s="46"/>
      <c r="P15" s="38"/>
    </row>
    <row r="16" spans="1:16" ht="13.9" customHeight="1">
      <c r="C16" s="37"/>
      <c r="D16" s="28"/>
      <c r="E16" s="42"/>
      <c r="F16" s="42"/>
      <c r="G16" s="42"/>
      <c r="H16" s="42"/>
      <c r="I16" s="42"/>
      <c r="J16" s="42"/>
      <c r="K16" s="42"/>
      <c r="L16" s="42"/>
      <c r="M16" s="42"/>
      <c r="N16" s="43"/>
      <c r="P16" s="38"/>
    </row>
    <row r="17" spans="3:16">
      <c r="C17" s="37"/>
      <c r="P17" s="38"/>
    </row>
    <row r="18" spans="3:16">
      <c r="C18" s="39"/>
      <c r="D18" s="40"/>
      <c r="E18" s="40"/>
      <c r="F18" s="40"/>
      <c r="G18" s="40"/>
      <c r="H18" s="40"/>
      <c r="I18" s="40"/>
      <c r="J18" s="40"/>
      <c r="K18" s="40"/>
      <c r="L18" s="40"/>
      <c r="M18" s="40"/>
      <c r="N18" s="40"/>
      <c r="O18" s="40"/>
      <c r="P18" s="41"/>
    </row>
  </sheetData>
  <sheetProtection sheet="1" objects="1" scenarios="1"/>
  <phoneticPr fontId="2"/>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21EB79-8062-449A-AFB7-13C06E0E942A}">
  <sheetPr>
    <tabColor theme="0" tint="-0.499984740745262"/>
  </sheetPr>
  <dimension ref="A1:O18"/>
  <sheetViews>
    <sheetView showGridLines="0" workbookViewId="0">
      <selection activeCell="I23" sqref="I23"/>
    </sheetView>
  </sheetViews>
  <sheetFormatPr defaultRowHeight="18"/>
  <cols>
    <col min="1" max="1" width="5.58203125" customWidth="1"/>
    <col min="2" max="2" width="3.33203125" customWidth="1"/>
    <col min="3" max="3" width="5.58203125" customWidth="1"/>
    <col min="4" max="4" width="25.58203125" bestFit="1" customWidth="1"/>
    <col min="5" max="5" width="8.25" bestFit="1" customWidth="1"/>
    <col min="6" max="6" width="8.33203125" bestFit="1" customWidth="1"/>
    <col min="7" max="7" width="10.25" bestFit="1" customWidth="1"/>
    <col min="8" max="8" width="10.83203125" bestFit="1" customWidth="1"/>
    <col min="9" max="9" width="14.08203125" bestFit="1" customWidth="1"/>
    <col min="10" max="10" width="25.58203125" bestFit="1" customWidth="1"/>
    <col min="11" max="11" width="8.25" bestFit="1" customWidth="1"/>
    <col min="12" max="12" width="16" bestFit="1" customWidth="1"/>
    <col min="13" max="13" width="17.75" bestFit="1" customWidth="1"/>
    <col min="14" max="14" width="2" customWidth="1"/>
  </cols>
  <sheetData>
    <row r="1" spans="1:15" ht="22.5">
      <c r="A1" s="4" t="str">
        <f ca="1">RIGHT(CELL("filename",A1),LEN(CELL("filename",A1))-FIND("]",CELL("filename",A1)))</f>
        <v>備品詳細画面（周辺機器）</v>
      </c>
    </row>
    <row r="3" spans="1:15">
      <c r="C3" t="s">
        <v>19</v>
      </c>
    </row>
    <row r="4" spans="1:15">
      <c r="C4" s="34"/>
      <c r="D4" s="35"/>
      <c r="E4" s="35"/>
      <c r="F4" s="35"/>
      <c r="G4" s="35"/>
      <c r="H4" s="35"/>
      <c r="I4" s="35"/>
      <c r="J4" s="35"/>
      <c r="K4" s="35"/>
      <c r="L4" s="35"/>
      <c r="M4" s="35"/>
      <c r="N4" s="35"/>
      <c r="O4" s="36"/>
    </row>
    <row r="5" spans="1:15" ht="22.5">
      <c r="C5" s="37"/>
      <c r="D5" s="4" t="s">
        <v>86</v>
      </c>
      <c r="O5" s="38"/>
    </row>
    <row r="6" spans="1:15">
      <c r="C6" s="37"/>
      <c r="O6" s="38"/>
    </row>
    <row r="7" spans="1:15">
      <c r="C7" s="37"/>
      <c r="D7" t="s">
        <v>103</v>
      </c>
      <c r="O7" s="38"/>
    </row>
    <row r="8" spans="1:15">
      <c r="C8" s="37"/>
      <c r="O8" s="38"/>
    </row>
    <row r="9" spans="1:15">
      <c r="C9" s="37"/>
      <c r="D9" s="33" t="s">
        <v>64</v>
      </c>
      <c r="E9" s="33" t="s">
        <v>66</v>
      </c>
      <c r="F9" s="33" t="s">
        <v>68</v>
      </c>
      <c r="G9" s="33" t="s">
        <v>71</v>
      </c>
      <c r="H9" s="33" t="s">
        <v>75</v>
      </c>
      <c r="I9" s="33" t="s">
        <v>77</v>
      </c>
      <c r="J9" s="33" t="s">
        <v>104</v>
      </c>
      <c r="K9" s="33" t="s">
        <v>89</v>
      </c>
      <c r="L9" s="33" t="s">
        <v>90</v>
      </c>
      <c r="M9" s="33" t="s">
        <v>43</v>
      </c>
      <c r="O9" s="38"/>
    </row>
    <row r="10" spans="1:15">
      <c r="C10" s="37"/>
      <c r="D10" s="3" t="s">
        <v>105</v>
      </c>
      <c r="E10" s="3" t="s">
        <v>92</v>
      </c>
      <c r="F10" s="3" t="s">
        <v>93</v>
      </c>
      <c r="G10" s="20">
        <v>44728</v>
      </c>
      <c r="H10" s="20">
        <v>44926</v>
      </c>
      <c r="I10" s="20">
        <v>44728</v>
      </c>
      <c r="J10" s="3" t="s">
        <v>91</v>
      </c>
      <c r="K10" s="3" t="s">
        <v>96</v>
      </c>
      <c r="L10" s="20">
        <v>45016</v>
      </c>
      <c r="M10" s="5"/>
      <c r="N10" s="44"/>
      <c r="O10" s="38"/>
    </row>
    <row r="11" spans="1:15">
      <c r="C11" s="37"/>
      <c r="D11" s="3" t="s">
        <v>105</v>
      </c>
      <c r="E11" s="3" t="s">
        <v>97</v>
      </c>
      <c r="F11" s="3" t="s">
        <v>98</v>
      </c>
      <c r="G11" s="24" t="s">
        <v>45</v>
      </c>
      <c r="H11" s="24" t="s">
        <v>45</v>
      </c>
      <c r="I11" s="20">
        <v>44728</v>
      </c>
      <c r="J11" s="3" t="s">
        <v>91</v>
      </c>
      <c r="K11" s="3" t="s">
        <v>99</v>
      </c>
      <c r="L11" s="24" t="s">
        <v>45</v>
      </c>
      <c r="M11" s="5" t="s">
        <v>106</v>
      </c>
      <c r="N11" s="45"/>
      <c r="O11" s="38"/>
    </row>
    <row r="12" spans="1:15">
      <c r="C12" s="37"/>
      <c r="D12" s="3" t="s">
        <v>105</v>
      </c>
      <c r="E12" s="3" t="s">
        <v>97</v>
      </c>
      <c r="F12" s="3" t="s">
        <v>101</v>
      </c>
      <c r="G12" s="24" t="s">
        <v>45</v>
      </c>
      <c r="H12" s="24" t="s">
        <v>45</v>
      </c>
      <c r="I12" s="20">
        <v>44728</v>
      </c>
      <c r="J12" s="3" t="s">
        <v>91</v>
      </c>
      <c r="K12" s="3" t="s">
        <v>99</v>
      </c>
      <c r="L12" s="24" t="s">
        <v>45</v>
      </c>
      <c r="M12" s="5" t="s">
        <v>102</v>
      </c>
      <c r="N12" s="45"/>
      <c r="O12" s="38"/>
    </row>
    <row r="13" spans="1:15">
      <c r="C13" s="37"/>
      <c r="D13" s="5"/>
      <c r="E13" s="5"/>
      <c r="F13" s="5"/>
      <c r="G13" s="5"/>
      <c r="H13" s="5"/>
      <c r="I13" s="5"/>
      <c r="J13" s="5"/>
      <c r="K13" s="5"/>
      <c r="L13" s="5"/>
      <c r="M13" s="5"/>
      <c r="N13" s="45"/>
      <c r="O13" s="38"/>
    </row>
    <row r="14" spans="1:15">
      <c r="C14" s="37"/>
      <c r="D14" s="5"/>
      <c r="E14" s="5"/>
      <c r="F14" s="5"/>
      <c r="G14" s="5"/>
      <c r="H14" s="5"/>
      <c r="I14" s="5"/>
      <c r="J14" s="5"/>
      <c r="K14" s="5"/>
      <c r="L14" s="5"/>
      <c r="M14" s="5"/>
      <c r="N14" s="45"/>
      <c r="O14" s="38"/>
    </row>
    <row r="15" spans="1:15">
      <c r="C15" s="37"/>
      <c r="D15" s="5"/>
      <c r="E15" s="5"/>
      <c r="F15" s="5"/>
      <c r="G15" s="5"/>
      <c r="H15" s="5"/>
      <c r="I15" s="5"/>
      <c r="J15" s="5"/>
      <c r="K15" s="5"/>
      <c r="L15" s="5"/>
      <c r="M15" s="5"/>
      <c r="N15" s="46"/>
      <c r="O15" s="38"/>
    </row>
    <row r="16" spans="1:15" ht="13.9" customHeight="1">
      <c r="C16" s="37"/>
      <c r="D16" s="28"/>
      <c r="E16" s="42"/>
      <c r="F16" s="42"/>
      <c r="G16" s="42"/>
      <c r="H16" s="42"/>
      <c r="I16" s="42"/>
      <c r="J16" s="42"/>
      <c r="K16" s="42"/>
      <c r="L16" s="42"/>
      <c r="M16" s="43"/>
      <c r="O16" s="38"/>
    </row>
    <row r="17" spans="3:15">
      <c r="C17" s="37"/>
      <c r="O17" s="38"/>
    </row>
    <row r="18" spans="3:15">
      <c r="C18" s="39"/>
      <c r="D18" s="40"/>
      <c r="E18" s="40"/>
      <c r="F18" s="40"/>
      <c r="G18" s="40"/>
      <c r="H18" s="40"/>
      <c r="I18" s="40"/>
      <c r="J18" s="40"/>
      <c r="K18" s="40"/>
      <c r="L18" s="40"/>
      <c r="M18" s="40"/>
      <c r="N18" s="40"/>
      <c r="O18" s="41"/>
    </row>
  </sheetData>
  <sheetProtection sheet="1" objects="1" scenarios="1"/>
  <phoneticPr fontId="2"/>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ABFEB-6CBD-4EE7-BC14-4C771028F8F5}">
  <sheetPr>
    <tabColor theme="0" tint="-0.499984740745262"/>
  </sheetPr>
  <dimension ref="A1:L18"/>
  <sheetViews>
    <sheetView showGridLines="0" workbookViewId="0">
      <selection activeCell="I23" sqref="I23"/>
    </sheetView>
  </sheetViews>
  <sheetFormatPr defaultRowHeight="18"/>
  <cols>
    <col min="1" max="1" width="5.58203125" customWidth="1"/>
    <col min="2" max="2" width="3.33203125" customWidth="1"/>
    <col min="3" max="3" width="5.58203125" customWidth="1"/>
    <col min="4" max="4" width="25.58203125" bestFit="1" customWidth="1"/>
    <col min="5" max="5" width="8.25" bestFit="1" customWidth="1"/>
    <col min="6" max="6" width="8.25" customWidth="1"/>
    <col min="7" max="7" width="10.25" bestFit="1" customWidth="1"/>
    <col min="8" max="8" width="10.83203125" bestFit="1" customWidth="1"/>
    <col min="9" max="9" width="14.08203125" bestFit="1" customWidth="1"/>
    <col min="10" max="10" width="22" bestFit="1" customWidth="1"/>
    <col min="11" max="11" width="2" customWidth="1"/>
  </cols>
  <sheetData>
    <row r="1" spans="1:12" ht="22.5">
      <c r="A1" s="4" t="str">
        <f ca="1">RIGHT(CELL("filename",A1),LEN(CELL("filename",A1))-FIND("]",CELL("filename",A1)))</f>
        <v>備品詳細画面（その他）</v>
      </c>
    </row>
    <row r="3" spans="1:12">
      <c r="C3" t="s">
        <v>19</v>
      </c>
    </row>
    <row r="4" spans="1:12">
      <c r="C4" s="34"/>
      <c r="D4" s="35"/>
      <c r="E4" s="35"/>
      <c r="F4" s="35"/>
      <c r="G4" s="35"/>
      <c r="H4" s="35"/>
      <c r="I4" s="35"/>
      <c r="J4" s="35"/>
      <c r="K4" s="35"/>
      <c r="L4" s="36"/>
    </row>
    <row r="5" spans="1:12" ht="22.5">
      <c r="C5" s="37"/>
      <c r="D5" s="4" t="s">
        <v>86</v>
      </c>
      <c r="L5" s="38"/>
    </row>
    <row r="6" spans="1:12">
      <c r="C6" s="37"/>
      <c r="L6" s="38"/>
    </row>
    <row r="7" spans="1:12">
      <c r="C7" s="37"/>
      <c r="D7" t="s">
        <v>32</v>
      </c>
      <c r="L7" s="38"/>
    </row>
    <row r="8" spans="1:12">
      <c r="C8" s="37"/>
      <c r="L8" s="38"/>
    </row>
    <row r="9" spans="1:12">
      <c r="C9" s="37"/>
      <c r="D9" s="33" t="s">
        <v>64</v>
      </c>
      <c r="E9" s="33" t="s">
        <v>66</v>
      </c>
      <c r="F9" s="33" t="s">
        <v>68</v>
      </c>
      <c r="G9" s="33" t="s">
        <v>71</v>
      </c>
      <c r="H9" s="33" t="s">
        <v>75</v>
      </c>
      <c r="I9" s="33" t="s">
        <v>77</v>
      </c>
      <c r="J9" s="33" t="s">
        <v>43</v>
      </c>
      <c r="L9" s="38"/>
    </row>
    <row r="10" spans="1:12">
      <c r="C10" s="37"/>
      <c r="D10" s="3" t="s">
        <v>91</v>
      </c>
      <c r="E10" s="3" t="s">
        <v>92</v>
      </c>
      <c r="F10" s="3" t="s">
        <v>93</v>
      </c>
      <c r="G10" s="20">
        <v>44728</v>
      </c>
      <c r="H10" s="20">
        <v>44926</v>
      </c>
      <c r="I10" s="20">
        <v>44728</v>
      </c>
      <c r="J10" s="5"/>
      <c r="K10" s="44"/>
      <c r="L10" s="38"/>
    </row>
    <row r="11" spans="1:12">
      <c r="C11" s="37"/>
      <c r="D11" s="3" t="s">
        <v>91</v>
      </c>
      <c r="E11" s="3" t="s">
        <v>97</v>
      </c>
      <c r="F11" s="3" t="s">
        <v>98</v>
      </c>
      <c r="G11" s="24" t="s">
        <v>45</v>
      </c>
      <c r="H11" s="24" t="s">
        <v>45</v>
      </c>
      <c r="I11" s="20">
        <v>44728</v>
      </c>
      <c r="J11" s="5"/>
      <c r="K11" s="45"/>
      <c r="L11" s="38"/>
    </row>
    <row r="12" spans="1:12">
      <c r="C12" s="37"/>
      <c r="D12" s="3" t="s">
        <v>91</v>
      </c>
      <c r="E12" s="3" t="s">
        <v>97</v>
      </c>
      <c r="F12" s="3" t="s">
        <v>24</v>
      </c>
      <c r="G12" s="24" t="s">
        <v>45</v>
      </c>
      <c r="H12" s="24" t="s">
        <v>45</v>
      </c>
      <c r="I12" s="20">
        <v>43998</v>
      </c>
      <c r="J12" s="5" t="s">
        <v>107</v>
      </c>
      <c r="K12" s="45"/>
      <c r="L12" s="38"/>
    </row>
    <row r="13" spans="1:12">
      <c r="C13" s="37"/>
      <c r="D13" s="5"/>
      <c r="E13" s="5"/>
      <c r="F13" s="5"/>
      <c r="G13" s="5"/>
      <c r="H13" s="5"/>
      <c r="I13" s="5"/>
      <c r="J13" s="5"/>
      <c r="K13" s="45"/>
      <c r="L13" s="38"/>
    </row>
    <row r="14" spans="1:12">
      <c r="C14" s="37"/>
      <c r="D14" s="5"/>
      <c r="E14" s="5"/>
      <c r="F14" s="5"/>
      <c r="G14" s="5"/>
      <c r="H14" s="5"/>
      <c r="I14" s="5"/>
      <c r="J14" s="5"/>
      <c r="K14" s="45"/>
      <c r="L14" s="38"/>
    </row>
    <row r="15" spans="1:12">
      <c r="C15" s="37"/>
      <c r="D15" s="5"/>
      <c r="E15" s="5"/>
      <c r="F15" s="5"/>
      <c r="G15" s="5"/>
      <c r="H15" s="5"/>
      <c r="I15" s="5"/>
      <c r="J15" s="5"/>
      <c r="K15" s="46"/>
      <c r="L15" s="38"/>
    </row>
    <row r="16" spans="1:12" ht="13.9" customHeight="1">
      <c r="C16" s="37"/>
      <c r="D16" s="28"/>
      <c r="E16" s="42"/>
      <c r="F16" s="42"/>
      <c r="G16" s="42"/>
      <c r="H16" s="42"/>
      <c r="I16" s="42"/>
      <c r="J16" s="43"/>
      <c r="L16" s="38"/>
    </row>
    <row r="17" spans="3:12">
      <c r="C17" s="37"/>
      <c r="L17" s="38"/>
    </row>
    <row r="18" spans="3:12">
      <c r="C18" s="39"/>
      <c r="D18" s="40"/>
      <c r="E18" s="40"/>
      <c r="F18" s="40"/>
      <c r="G18" s="40"/>
      <c r="H18" s="40"/>
      <c r="I18" s="40"/>
      <c r="J18" s="40"/>
      <c r="K18" s="40"/>
      <c r="L18" s="41"/>
    </row>
  </sheetData>
  <sheetProtection sheet="1" objects="1" scenarios="1"/>
  <phoneticPr fontId="2"/>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EC5D0-B474-4CEF-81EB-E0047E369B6C}">
  <sheetPr>
    <tabColor theme="0" tint="-0.499984740745262"/>
  </sheetPr>
  <dimension ref="A1:K75"/>
  <sheetViews>
    <sheetView showGridLines="0" topLeftCell="A57" zoomScale="115" zoomScaleNormal="115" workbookViewId="0">
      <selection activeCell="H22" sqref="H22"/>
    </sheetView>
  </sheetViews>
  <sheetFormatPr defaultRowHeight="18"/>
  <cols>
    <col min="1" max="1" width="5.58203125" customWidth="1"/>
    <col min="2" max="2" width="3.33203125" customWidth="1"/>
    <col min="3" max="3" width="5.58203125" customWidth="1"/>
    <col min="4" max="4" width="25.58203125" bestFit="1" customWidth="1"/>
    <col min="5" max="5" width="19.08203125" customWidth="1"/>
    <col min="6" max="6" width="10.25" bestFit="1" customWidth="1"/>
    <col min="7" max="7" width="10.83203125" bestFit="1" customWidth="1"/>
    <col min="8" max="8" width="22" bestFit="1" customWidth="1"/>
    <col min="9" max="9" width="10.83203125" bestFit="1" customWidth="1"/>
    <col min="10" max="10" width="2" customWidth="1"/>
  </cols>
  <sheetData>
    <row r="1" spans="1:11" ht="22.5">
      <c r="A1" s="4" t="str">
        <f ca="1">RIGHT(CELL("filename",A1),LEN(CELL("filename",A1))-FIND("]",CELL("filename",A1)))</f>
        <v>備品貸出画面</v>
      </c>
    </row>
    <row r="3" spans="1:11">
      <c r="C3" t="s">
        <v>108</v>
      </c>
    </row>
    <row r="4" spans="1:11">
      <c r="C4" s="34"/>
      <c r="D4" s="35"/>
      <c r="E4" s="35"/>
      <c r="F4" s="35"/>
      <c r="G4" s="35"/>
      <c r="H4" s="35"/>
      <c r="I4" s="35"/>
      <c r="J4" s="35"/>
      <c r="K4" s="36"/>
    </row>
    <row r="5" spans="1:11" ht="22.5">
      <c r="C5" s="37"/>
      <c r="D5" s="4" t="s">
        <v>109</v>
      </c>
      <c r="K5" s="38"/>
    </row>
    <row r="6" spans="1:11">
      <c r="C6" s="37"/>
      <c r="K6" s="38"/>
    </row>
    <row r="7" spans="1:11">
      <c r="C7" s="37"/>
      <c r="D7" t="s">
        <v>32</v>
      </c>
      <c r="K7" s="38"/>
    </row>
    <row r="8" spans="1:11">
      <c r="C8" s="37"/>
      <c r="K8" s="38"/>
    </row>
    <row r="9" spans="1:11">
      <c r="C9" s="37"/>
      <c r="D9" s="33" t="s">
        <v>64</v>
      </c>
      <c r="E9" s="33" t="s">
        <v>66</v>
      </c>
      <c r="F9" s="33" t="s">
        <v>71</v>
      </c>
      <c r="G9" s="33" t="s">
        <v>75</v>
      </c>
      <c r="H9" s="33" t="s">
        <v>43</v>
      </c>
      <c r="I9" s="33" t="s">
        <v>22</v>
      </c>
      <c r="K9" s="38"/>
    </row>
    <row r="10" spans="1:11">
      <c r="C10" s="37"/>
      <c r="D10" s="3" t="s">
        <v>110</v>
      </c>
      <c r="E10" s="47" t="s">
        <v>111</v>
      </c>
      <c r="F10" s="20">
        <v>44735</v>
      </c>
      <c r="G10" s="20">
        <v>45100</v>
      </c>
      <c r="H10" s="5"/>
      <c r="I10" s="24" t="s">
        <v>112</v>
      </c>
      <c r="J10" s="44"/>
      <c r="K10" s="38"/>
    </row>
    <row r="11" spans="1:11">
      <c r="C11" s="37"/>
      <c r="D11" s="3" t="s">
        <v>113</v>
      </c>
      <c r="E11" s="47" t="s">
        <v>111</v>
      </c>
      <c r="F11" s="20">
        <v>44735</v>
      </c>
      <c r="G11" s="20">
        <v>45100</v>
      </c>
      <c r="H11" s="5"/>
      <c r="I11" s="24" t="s">
        <v>112</v>
      </c>
      <c r="J11" s="45"/>
      <c r="K11" s="38"/>
    </row>
    <row r="12" spans="1:11">
      <c r="C12" s="37"/>
      <c r="D12" s="3" t="s">
        <v>114</v>
      </c>
      <c r="E12" s="47" t="s">
        <v>111</v>
      </c>
      <c r="F12" s="20">
        <v>44735</v>
      </c>
      <c r="G12" s="20">
        <v>45100</v>
      </c>
      <c r="H12" s="5"/>
      <c r="I12" s="24" t="s">
        <v>112</v>
      </c>
      <c r="J12" s="45"/>
      <c r="K12" s="38"/>
    </row>
    <row r="13" spans="1:11">
      <c r="C13" s="37"/>
      <c r="D13" s="3" t="s">
        <v>115</v>
      </c>
      <c r="E13" s="47" t="s">
        <v>111</v>
      </c>
      <c r="F13" s="20">
        <v>44735</v>
      </c>
      <c r="G13" s="20">
        <v>45100</v>
      </c>
      <c r="H13" s="5"/>
      <c r="I13" s="24" t="s">
        <v>112</v>
      </c>
      <c r="J13" s="45"/>
      <c r="K13" s="38"/>
    </row>
    <row r="14" spans="1:11">
      <c r="C14" s="37"/>
      <c r="D14" s="3" t="s">
        <v>116</v>
      </c>
      <c r="E14" s="47" t="s">
        <v>111</v>
      </c>
      <c r="F14" s="20">
        <v>44735</v>
      </c>
      <c r="G14" s="20">
        <v>45100</v>
      </c>
      <c r="H14" s="5"/>
      <c r="I14" s="24" t="s">
        <v>112</v>
      </c>
      <c r="J14" s="45"/>
      <c r="K14" s="38"/>
    </row>
    <row r="15" spans="1:11">
      <c r="C15" s="37"/>
      <c r="D15" s="3" t="s">
        <v>117</v>
      </c>
      <c r="E15" s="47" t="s">
        <v>111</v>
      </c>
      <c r="F15" s="20">
        <v>44735</v>
      </c>
      <c r="G15" s="20">
        <v>45100</v>
      </c>
      <c r="H15" s="5" t="s">
        <v>118</v>
      </c>
      <c r="I15" s="24" t="s">
        <v>112</v>
      </c>
      <c r="J15" s="46"/>
      <c r="K15" s="38"/>
    </row>
    <row r="16" spans="1:11" ht="13.9" customHeight="1">
      <c r="C16" s="37"/>
      <c r="D16" s="28"/>
      <c r="E16" s="42"/>
      <c r="F16" s="42"/>
      <c r="G16" s="42"/>
      <c r="H16" s="42"/>
      <c r="I16" s="43"/>
      <c r="K16" s="38"/>
    </row>
    <row r="17" spans="3:11">
      <c r="C17" s="37"/>
      <c r="K17" s="38"/>
    </row>
    <row r="18" spans="3:11">
      <c r="C18" s="39"/>
      <c r="D18" s="40"/>
      <c r="E18" s="40"/>
      <c r="F18" s="40"/>
      <c r="G18" s="40"/>
      <c r="H18" s="40"/>
      <c r="I18" s="40"/>
      <c r="J18" s="40"/>
      <c r="K18" s="41"/>
    </row>
    <row r="23" spans="3:11">
      <c r="C23" t="s">
        <v>119</v>
      </c>
    </row>
    <row r="24" spans="3:11">
      <c r="C24" s="34"/>
      <c r="D24" s="35"/>
      <c r="E24" s="35"/>
      <c r="F24" s="35"/>
      <c r="G24" s="35"/>
      <c r="H24" s="35"/>
      <c r="I24" s="35"/>
      <c r="J24" s="35"/>
      <c r="K24" s="36"/>
    </row>
    <row r="25" spans="3:11" ht="22.5">
      <c r="C25" s="37"/>
      <c r="D25" s="4" t="s">
        <v>109</v>
      </c>
      <c r="K25" s="38"/>
    </row>
    <row r="26" spans="3:11">
      <c r="C26" s="37"/>
      <c r="K26" s="38"/>
    </row>
    <row r="27" spans="3:11">
      <c r="C27" s="37"/>
      <c r="D27" t="s">
        <v>32</v>
      </c>
      <c r="K27" s="38"/>
    </row>
    <row r="28" spans="3:11">
      <c r="C28" s="37"/>
      <c r="K28" s="38"/>
    </row>
    <row r="29" spans="3:11">
      <c r="C29" s="37"/>
      <c r="D29" s="33" t="s">
        <v>64</v>
      </c>
      <c r="E29" s="33" t="s">
        <v>66</v>
      </c>
      <c r="F29" s="33" t="s">
        <v>71</v>
      </c>
      <c r="G29" s="33" t="s">
        <v>75</v>
      </c>
      <c r="H29" s="33" t="s">
        <v>43</v>
      </c>
      <c r="I29" s="33" t="s">
        <v>22</v>
      </c>
      <c r="K29" s="38"/>
    </row>
    <row r="30" spans="3:11">
      <c r="C30" s="37"/>
      <c r="D30" s="3" t="s">
        <v>110</v>
      </c>
      <c r="E30" s="47" t="s">
        <v>111</v>
      </c>
      <c r="F30" s="20">
        <v>44735</v>
      </c>
      <c r="G30" s="20">
        <v>45100</v>
      </c>
      <c r="H30" s="5"/>
      <c r="I30" s="24" t="s">
        <v>112</v>
      </c>
      <c r="J30" s="44"/>
      <c r="K30" s="38"/>
    </row>
    <row r="31" spans="3:11" ht="18.5" thickBot="1">
      <c r="C31" s="37"/>
      <c r="D31" s="3" t="s">
        <v>113</v>
      </c>
      <c r="E31" s="48" t="s">
        <v>111</v>
      </c>
      <c r="F31" s="20">
        <v>44735</v>
      </c>
      <c r="G31" s="20">
        <v>45100</v>
      </c>
      <c r="H31" s="5"/>
      <c r="I31" s="24" t="s">
        <v>112</v>
      </c>
      <c r="J31" s="45"/>
      <c r="K31" s="38"/>
    </row>
    <row r="32" spans="3:11">
      <c r="C32" s="37"/>
      <c r="D32" s="3" t="s">
        <v>114</v>
      </c>
      <c r="E32" s="50" t="s">
        <v>120</v>
      </c>
      <c r="F32" s="20">
        <v>44735</v>
      </c>
      <c r="G32" s="20">
        <v>45100</v>
      </c>
      <c r="H32" s="5"/>
      <c r="I32" s="24" t="s">
        <v>112</v>
      </c>
      <c r="J32" s="45"/>
      <c r="K32" s="38"/>
    </row>
    <row r="33" spans="3:11">
      <c r="C33" s="37"/>
      <c r="D33" s="3" t="s">
        <v>115</v>
      </c>
      <c r="E33" s="29" t="s">
        <v>121</v>
      </c>
      <c r="F33" s="20">
        <v>44735</v>
      </c>
      <c r="G33" s="20">
        <v>45100</v>
      </c>
      <c r="H33" s="5"/>
      <c r="I33" s="24" t="s">
        <v>112</v>
      </c>
      <c r="J33" s="45"/>
      <c r="K33" s="38"/>
    </row>
    <row r="34" spans="3:11">
      <c r="C34" s="37"/>
      <c r="D34" s="3" t="s">
        <v>116</v>
      </c>
      <c r="E34" s="29" t="s">
        <v>122</v>
      </c>
      <c r="F34" s="20">
        <v>44735</v>
      </c>
      <c r="G34" s="20">
        <v>45100</v>
      </c>
      <c r="H34" s="5"/>
      <c r="I34" s="24" t="s">
        <v>112</v>
      </c>
      <c r="J34" s="45"/>
      <c r="K34" s="38"/>
    </row>
    <row r="35" spans="3:11">
      <c r="C35" s="37"/>
      <c r="D35" s="3" t="s">
        <v>117</v>
      </c>
      <c r="E35" s="29" t="s">
        <v>123</v>
      </c>
      <c r="F35" s="20">
        <v>44735</v>
      </c>
      <c r="G35" s="20">
        <v>45100</v>
      </c>
      <c r="H35" s="5" t="s">
        <v>118</v>
      </c>
      <c r="I35" s="24" t="s">
        <v>112</v>
      </c>
      <c r="J35" s="46"/>
      <c r="K35" s="38"/>
    </row>
    <row r="36" spans="3:11">
      <c r="C36" s="37"/>
      <c r="D36" s="28"/>
      <c r="E36" s="29" t="s">
        <v>124</v>
      </c>
      <c r="F36" s="42"/>
      <c r="G36" s="42"/>
      <c r="H36" s="42"/>
      <c r="I36" s="43"/>
      <c r="K36" s="38"/>
    </row>
    <row r="37" spans="3:11" ht="18.5" thickBot="1">
      <c r="C37" s="37"/>
      <c r="E37" s="49" t="s">
        <v>125</v>
      </c>
      <c r="K37" s="38"/>
    </row>
    <row r="38" spans="3:11">
      <c r="C38" s="39"/>
      <c r="D38" s="40"/>
      <c r="E38" s="40"/>
      <c r="F38" s="40"/>
      <c r="G38" s="40"/>
      <c r="H38" s="40"/>
      <c r="I38" s="40"/>
      <c r="J38" s="40"/>
      <c r="K38" s="41"/>
    </row>
    <row r="42" spans="3:11">
      <c r="C42" t="s">
        <v>126</v>
      </c>
    </row>
    <row r="43" spans="3:11">
      <c r="C43" s="34"/>
      <c r="D43" s="35"/>
      <c r="E43" s="35"/>
      <c r="F43" s="35"/>
      <c r="G43" s="35"/>
      <c r="H43" s="35"/>
      <c r="I43" s="35"/>
      <c r="J43" s="35"/>
      <c r="K43" s="36"/>
    </row>
    <row r="44" spans="3:11" ht="22.5">
      <c r="C44" s="37"/>
      <c r="D44" s="4" t="s">
        <v>109</v>
      </c>
      <c r="K44" s="38"/>
    </row>
    <row r="45" spans="3:11">
      <c r="C45" s="37"/>
      <c r="K45" s="38"/>
    </row>
    <row r="46" spans="3:11">
      <c r="C46" s="37"/>
      <c r="D46" t="s">
        <v>32</v>
      </c>
      <c r="K46" s="38"/>
    </row>
    <row r="47" spans="3:11">
      <c r="C47" s="37"/>
      <c r="K47" s="38"/>
    </row>
    <row r="48" spans="3:11">
      <c r="C48" s="37"/>
      <c r="D48" s="33" t="s">
        <v>64</v>
      </c>
      <c r="E48" s="33" t="s">
        <v>66</v>
      </c>
      <c r="F48" s="33" t="s">
        <v>71</v>
      </c>
      <c r="G48" s="33" t="s">
        <v>75</v>
      </c>
      <c r="H48" s="33" t="s">
        <v>43</v>
      </c>
      <c r="I48" s="33" t="s">
        <v>22</v>
      </c>
      <c r="K48" s="38"/>
    </row>
    <row r="49" spans="3:11">
      <c r="C49" s="37"/>
      <c r="D49" s="3" t="s">
        <v>110</v>
      </c>
      <c r="E49" s="47" t="s">
        <v>111</v>
      </c>
      <c r="F49" s="20">
        <v>44735</v>
      </c>
      <c r="G49" s="20">
        <v>45100</v>
      </c>
      <c r="H49" s="5"/>
      <c r="I49" s="24" t="s">
        <v>112</v>
      </c>
      <c r="J49" s="44"/>
      <c r="K49" s="38"/>
    </row>
    <row r="50" spans="3:11">
      <c r="C50" s="37"/>
      <c r="D50" s="3" t="s">
        <v>113</v>
      </c>
      <c r="E50" s="48" t="s">
        <v>120</v>
      </c>
      <c r="F50" s="20">
        <v>44735</v>
      </c>
      <c r="G50" s="20">
        <v>45100</v>
      </c>
      <c r="H50" s="5"/>
      <c r="I50" s="54" t="s">
        <v>127</v>
      </c>
      <c r="J50" s="45"/>
      <c r="K50" s="38"/>
    </row>
    <row r="51" spans="3:11">
      <c r="C51" s="37"/>
      <c r="D51" s="3" t="s">
        <v>114</v>
      </c>
      <c r="E51" s="47" t="s">
        <v>111</v>
      </c>
      <c r="F51" s="20">
        <v>44735</v>
      </c>
      <c r="G51" s="20">
        <v>45100</v>
      </c>
      <c r="H51" s="5"/>
      <c r="I51" s="24" t="s">
        <v>112</v>
      </c>
      <c r="J51" s="45"/>
      <c r="K51" s="38"/>
    </row>
    <row r="52" spans="3:11">
      <c r="C52" s="37"/>
      <c r="D52" s="3" t="s">
        <v>115</v>
      </c>
      <c r="E52" s="47" t="s">
        <v>111</v>
      </c>
      <c r="F52" s="20">
        <v>44735</v>
      </c>
      <c r="G52" s="20">
        <v>45100</v>
      </c>
      <c r="H52" s="5"/>
      <c r="I52" s="24" t="s">
        <v>112</v>
      </c>
      <c r="J52" s="45"/>
      <c r="K52" s="38"/>
    </row>
    <row r="53" spans="3:11">
      <c r="C53" s="37"/>
      <c r="D53" s="3" t="s">
        <v>116</v>
      </c>
      <c r="E53" s="47" t="s">
        <v>111</v>
      </c>
      <c r="F53" s="20">
        <v>44735</v>
      </c>
      <c r="G53" s="20">
        <v>45100</v>
      </c>
      <c r="H53" s="5"/>
      <c r="I53" s="24" t="s">
        <v>112</v>
      </c>
      <c r="J53" s="45"/>
      <c r="K53" s="38"/>
    </row>
    <row r="54" spans="3:11">
      <c r="C54" s="37"/>
      <c r="D54" s="3" t="s">
        <v>117</v>
      </c>
      <c r="E54" s="47" t="s">
        <v>111</v>
      </c>
      <c r="F54" s="20">
        <v>44735</v>
      </c>
      <c r="G54" s="20">
        <v>45100</v>
      </c>
      <c r="H54" s="5" t="s">
        <v>118</v>
      </c>
      <c r="I54" s="24" t="s">
        <v>112</v>
      </c>
      <c r="J54" s="46"/>
      <c r="K54" s="38"/>
    </row>
    <row r="55" spans="3:11">
      <c r="C55" s="37"/>
      <c r="D55" s="28"/>
      <c r="E55" s="42"/>
      <c r="F55" s="42"/>
      <c r="G55" s="42"/>
      <c r="H55" s="42"/>
      <c r="I55" s="43"/>
      <c r="K55" s="38"/>
    </row>
    <row r="56" spans="3:11">
      <c r="C56" s="37"/>
      <c r="K56" s="38"/>
    </row>
    <row r="57" spans="3:11">
      <c r="C57" s="39"/>
      <c r="D57" s="40"/>
      <c r="E57" s="40"/>
      <c r="F57" s="40"/>
      <c r="G57" s="40"/>
      <c r="H57" s="40"/>
      <c r="I57" s="40"/>
      <c r="J57" s="40"/>
      <c r="K57" s="41"/>
    </row>
    <row r="61" spans="3:11">
      <c r="C61" t="s">
        <v>128</v>
      </c>
    </row>
    <row r="62" spans="3:11">
      <c r="C62" s="34"/>
      <c r="D62" s="35"/>
      <c r="E62" s="35"/>
      <c r="F62" s="35"/>
      <c r="G62" s="35"/>
      <c r="H62" s="35"/>
      <c r="I62" s="35"/>
      <c r="J62" s="35"/>
      <c r="K62" s="36"/>
    </row>
    <row r="63" spans="3:11" ht="22.5">
      <c r="C63" s="37"/>
      <c r="D63" s="4" t="s">
        <v>109</v>
      </c>
      <c r="K63" s="38"/>
    </row>
    <row r="64" spans="3:11">
      <c r="C64" s="37"/>
      <c r="K64" s="38"/>
    </row>
    <row r="65" spans="3:11">
      <c r="C65" s="37"/>
      <c r="D65" t="s">
        <v>32</v>
      </c>
      <c r="K65" s="38"/>
    </row>
    <row r="66" spans="3:11">
      <c r="C66" s="37"/>
      <c r="K66" s="38"/>
    </row>
    <row r="67" spans="3:11">
      <c r="C67" s="37"/>
      <c r="D67" s="33" t="s">
        <v>64</v>
      </c>
      <c r="E67" s="33" t="s">
        <v>66</v>
      </c>
      <c r="F67" s="33" t="s">
        <v>71</v>
      </c>
      <c r="G67" s="33" t="s">
        <v>75</v>
      </c>
      <c r="H67" s="33" t="s">
        <v>43</v>
      </c>
      <c r="I67" s="33" t="s">
        <v>22</v>
      </c>
      <c r="K67" s="38"/>
    </row>
    <row r="68" spans="3:11">
      <c r="C68" s="37"/>
      <c r="D68" s="3" t="s">
        <v>110</v>
      </c>
      <c r="E68" s="47" t="s">
        <v>111</v>
      </c>
      <c r="F68" s="20">
        <v>44735</v>
      </c>
      <c r="G68" s="20">
        <v>45100</v>
      </c>
      <c r="H68" s="5"/>
      <c r="I68" s="24" t="s">
        <v>112</v>
      </c>
      <c r="J68" s="44"/>
      <c r="K68" s="38"/>
    </row>
    <row r="69" spans="3:11">
      <c r="C69" s="37"/>
      <c r="D69" s="3" t="s">
        <v>114</v>
      </c>
      <c r="E69" s="47" t="s">
        <v>111</v>
      </c>
      <c r="F69" s="20">
        <v>44735</v>
      </c>
      <c r="G69" s="20">
        <v>45100</v>
      </c>
      <c r="H69" s="5"/>
      <c r="I69" s="24" t="s">
        <v>112</v>
      </c>
      <c r="J69" s="45"/>
      <c r="K69" s="38"/>
    </row>
    <row r="70" spans="3:11">
      <c r="C70" s="37"/>
      <c r="D70" s="3" t="s">
        <v>115</v>
      </c>
      <c r="E70" s="47" t="s">
        <v>111</v>
      </c>
      <c r="F70" s="20">
        <v>44735</v>
      </c>
      <c r="G70" s="20">
        <v>45100</v>
      </c>
      <c r="H70" s="5"/>
      <c r="I70" s="24" t="s">
        <v>112</v>
      </c>
      <c r="J70" s="45"/>
      <c r="K70" s="38"/>
    </row>
    <row r="71" spans="3:11">
      <c r="C71" s="37"/>
      <c r="D71" s="3" t="s">
        <v>116</v>
      </c>
      <c r="E71" s="47" t="s">
        <v>111</v>
      </c>
      <c r="F71" s="20">
        <v>44735</v>
      </c>
      <c r="G71" s="20">
        <v>45100</v>
      </c>
      <c r="H71" s="5"/>
      <c r="I71" s="24" t="s">
        <v>112</v>
      </c>
      <c r="J71" s="45"/>
      <c r="K71" s="38"/>
    </row>
    <row r="72" spans="3:11">
      <c r="C72" s="37"/>
      <c r="D72" s="3" t="s">
        <v>117</v>
      </c>
      <c r="E72" s="47" t="s">
        <v>111</v>
      </c>
      <c r="F72" s="20">
        <v>44735</v>
      </c>
      <c r="G72" s="20">
        <v>45100</v>
      </c>
      <c r="H72" s="5" t="s">
        <v>118</v>
      </c>
      <c r="I72" s="24" t="s">
        <v>112</v>
      </c>
      <c r="J72" s="46"/>
      <c r="K72" s="38"/>
    </row>
    <row r="73" spans="3:11">
      <c r="C73" s="37"/>
      <c r="D73" s="28"/>
      <c r="E73" s="42"/>
      <c r="F73" s="42"/>
      <c r="G73" s="42"/>
      <c r="H73" s="42"/>
      <c r="I73" s="43"/>
      <c r="K73" s="38"/>
    </row>
    <row r="74" spans="3:11">
      <c r="C74" s="37"/>
      <c r="K74" s="38"/>
    </row>
    <row r="75" spans="3:11">
      <c r="C75" s="39"/>
      <c r="D75" s="40"/>
      <c r="E75" s="40"/>
      <c r="F75" s="40"/>
      <c r="G75" s="40"/>
      <c r="H75" s="40"/>
      <c r="I75" s="40"/>
      <c r="J75" s="40"/>
      <c r="K75" s="41"/>
    </row>
  </sheetData>
  <phoneticPr fontId="2"/>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108E3-9B57-4EE7-95DF-D8BB8C188156}">
  <dimension ref="A1:M44"/>
  <sheetViews>
    <sheetView showGridLines="0" topLeftCell="A3" zoomScaleNormal="100" workbookViewId="0">
      <selection activeCell="A45" sqref="A45"/>
    </sheetView>
  </sheetViews>
  <sheetFormatPr defaultRowHeight="18"/>
  <cols>
    <col min="2" max="2" width="3.33203125" bestFit="1" customWidth="1"/>
    <col min="3" max="3" width="15.83203125" bestFit="1" customWidth="1"/>
    <col min="4" max="4" width="7.83203125" bestFit="1" customWidth="1"/>
    <col min="5" max="5" width="15.83203125" bestFit="1" customWidth="1"/>
    <col min="6" max="6" width="12" bestFit="1" customWidth="1"/>
    <col min="7" max="8" width="6.5" bestFit="1" customWidth="1"/>
    <col min="9" max="9" width="13.83203125" bestFit="1" customWidth="1"/>
    <col min="10" max="11" width="13.83203125" customWidth="1"/>
    <col min="12" max="12" width="54.08203125" bestFit="1" customWidth="1"/>
    <col min="13" max="13" width="60.5" customWidth="1"/>
  </cols>
  <sheetData>
    <row r="1" spans="1:1" ht="22.5">
      <c r="A1" s="4" t="str">
        <f ca="1">RIGHT(CELL("filename",A1),LEN(CELL("filename",A1))-FIND("]",CELL("filename",A1)))</f>
        <v>備品貸出画面（項目一覧）</v>
      </c>
    </row>
    <row r="20" spans="2:13">
      <c r="B20" s="18" t="s">
        <v>36</v>
      </c>
      <c r="C20" s="18" t="s">
        <v>37</v>
      </c>
      <c r="D20" s="18" t="s">
        <v>38</v>
      </c>
      <c r="E20" s="18" t="s">
        <v>129</v>
      </c>
      <c r="F20" s="18" t="s">
        <v>39</v>
      </c>
      <c r="G20" s="18" t="s">
        <v>40</v>
      </c>
      <c r="H20" s="18" t="s">
        <v>41</v>
      </c>
      <c r="I20" s="18" t="s">
        <v>42</v>
      </c>
      <c r="J20" s="18" t="s">
        <v>130</v>
      </c>
      <c r="K20" s="18" t="s">
        <v>131</v>
      </c>
      <c r="L20" s="18" t="s">
        <v>8</v>
      </c>
      <c r="M20" s="18" t="s">
        <v>43</v>
      </c>
    </row>
    <row r="21" spans="2:13">
      <c r="B21" s="2">
        <v>1</v>
      </c>
      <c r="C21" s="2" t="s">
        <v>21</v>
      </c>
      <c r="D21" s="2" t="s">
        <v>44</v>
      </c>
      <c r="E21" s="2" t="s">
        <v>132</v>
      </c>
      <c r="F21" s="2">
        <v>100</v>
      </c>
      <c r="G21" s="25" t="s">
        <v>45</v>
      </c>
      <c r="H21" s="25" t="s">
        <v>45</v>
      </c>
      <c r="I21" s="25" t="s">
        <v>45</v>
      </c>
      <c r="J21" s="25" t="s">
        <v>45</v>
      </c>
      <c r="K21" s="25" t="s">
        <v>133</v>
      </c>
      <c r="L21" s="26" t="s">
        <v>134</v>
      </c>
      <c r="M21" s="26"/>
    </row>
    <row r="22" spans="2:13">
      <c r="B22" s="2">
        <v>2</v>
      </c>
      <c r="C22" s="2" t="s">
        <v>64</v>
      </c>
      <c r="D22" s="2" t="s">
        <v>44</v>
      </c>
      <c r="E22" s="2" t="s">
        <v>132</v>
      </c>
      <c r="F22" s="2">
        <v>20</v>
      </c>
      <c r="G22" s="25" t="s">
        <v>45</v>
      </c>
      <c r="H22" s="25" t="s">
        <v>45</v>
      </c>
      <c r="I22" s="25" t="s">
        <v>45</v>
      </c>
      <c r="J22" s="25" t="s">
        <v>45</v>
      </c>
      <c r="K22" s="25" t="s">
        <v>133</v>
      </c>
      <c r="L22" s="26" t="s">
        <v>65</v>
      </c>
      <c r="M22" s="26" t="s">
        <v>135</v>
      </c>
    </row>
    <row r="23" spans="2:13" ht="54">
      <c r="B23" s="2">
        <v>3</v>
      </c>
      <c r="C23" s="2" t="s">
        <v>66</v>
      </c>
      <c r="D23" s="2" t="s">
        <v>44</v>
      </c>
      <c r="E23" s="53" t="s">
        <v>136</v>
      </c>
      <c r="F23" s="2">
        <v>20</v>
      </c>
      <c r="G23" s="25" t="s">
        <v>45</v>
      </c>
      <c r="H23" s="25" t="s">
        <v>45</v>
      </c>
      <c r="I23" s="25" t="s">
        <v>45</v>
      </c>
      <c r="J23" s="25" t="s">
        <v>137</v>
      </c>
      <c r="K23" s="25" t="s">
        <v>138</v>
      </c>
      <c r="L23" s="26" t="s">
        <v>139</v>
      </c>
      <c r="M23" s="26" t="s">
        <v>140</v>
      </c>
    </row>
    <row r="24" spans="2:13" ht="36">
      <c r="B24" s="2">
        <v>4</v>
      </c>
      <c r="C24" s="2" t="s">
        <v>71</v>
      </c>
      <c r="D24" s="2" t="s">
        <v>72</v>
      </c>
      <c r="E24" s="2" t="s">
        <v>141</v>
      </c>
      <c r="F24" s="2">
        <v>10</v>
      </c>
      <c r="G24" s="25" t="s">
        <v>45</v>
      </c>
      <c r="H24" s="25" t="s">
        <v>45</v>
      </c>
      <c r="I24" s="25" t="s">
        <v>73</v>
      </c>
      <c r="J24" s="25" t="s">
        <v>142</v>
      </c>
      <c r="K24" s="25" t="s">
        <v>138</v>
      </c>
      <c r="L24" s="26" t="s">
        <v>143</v>
      </c>
      <c r="M24" s="26" t="s">
        <v>144</v>
      </c>
    </row>
    <row r="25" spans="2:13" ht="36">
      <c r="B25" s="2">
        <v>5</v>
      </c>
      <c r="C25" s="2" t="s">
        <v>75</v>
      </c>
      <c r="D25" s="2" t="s">
        <v>72</v>
      </c>
      <c r="E25" s="2" t="s">
        <v>141</v>
      </c>
      <c r="F25" s="2">
        <v>10</v>
      </c>
      <c r="G25" s="25" t="s">
        <v>45</v>
      </c>
      <c r="H25" s="25" t="s">
        <v>45</v>
      </c>
      <c r="I25" s="25" t="s">
        <v>73</v>
      </c>
      <c r="J25" s="52">
        <v>73050</v>
      </c>
      <c r="K25" s="25" t="s">
        <v>138</v>
      </c>
      <c r="L25" s="26" t="s">
        <v>76</v>
      </c>
      <c r="M25" s="26" t="s">
        <v>145</v>
      </c>
    </row>
    <row r="26" spans="2:13" ht="36">
      <c r="B26" s="2">
        <v>6</v>
      </c>
      <c r="C26" s="2" t="s">
        <v>43</v>
      </c>
      <c r="D26" s="2" t="s">
        <v>44</v>
      </c>
      <c r="E26" s="2" t="s">
        <v>132</v>
      </c>
      <c r="F26" s="2">
        <v>10</v>
      </c>
      <c r="G26" s="25" t="s">
        <v>45</v>
      </c>
      <c r="H26" s="25" t="s">
        <v>45</v>
      </c>
      <c r="I26" s="25" t="s">
        <v>45</v>
      </c>
      <c r="J26" s="25" t="s">
        <v>45</v>
      </c>
      <c r="K26" s="25" t="s">
        <v>133</v>
      </c>
      <c r="L26" s="26" t="s">
        <v>146</v>
      </c>
      <c r="M26" s="26" t="s">
        <v>147</v>
      </c>
    </row>
    <row r="27" spans="2:13" ht="36">
      <c r="B27" s="2">
        <v>7</v>
      </c>
      <c r="C27" s="2" t="s">
        <v>22</v>
      </c>
      <c r="D27" s="2" t="s">
        <v>148</v>
      </c>
      <c r="E27" s="2" t="s">
        <v>149</v>
      </c>
      <c r="F27" s="25" t="s">
        <v>45</v>
      </c>
      <c r="G27" s="25" t="s">
        <v>45</v>
      </c>
      <c r="H27" s="25" t="s">
        <v>45</v>
      </c>
      <c r="I27" s="25" t="s">
        <v>45</v>
      </c>
      <c r="J27" s="25" t="b">
        <v>0</v>
      </c>
      <c r="K27" s="25" t="s">
        <v>138</v>
      </c>
      <c r="L27" s="26" t="s">
        <v>150</v>
      </c>
      <c r="M27" s="26" t="s">
        <v>151</v>
      </c>
    </row>
    <row r="28" spans="2:13" ht="36">
      <c r="B28" s="2">
        <v>8</v>
      </c>
      <c r="C28" s="2" t="s">
        <v>22</v>
      </c>
      <c r="D28" s="25" t="s">
        <v>45</v>
      </c>
      <c r="E28" s="2" t="s">
        <v>152</v>
      </c>
      <c r="F28" s="25" t="s">
        <v>45</v>
      </c>
      <c r="G28" s="25" t="s">
        <v>45</v>
      </c>
      <c r="H28" s="25" t="s">
        <v>45</v>
      </c>
      <c r="I28" s="25" t="s">
        <v>45</v>
      </c>
      <c r="J28" s="25" t="s">
        <v>45</v>
      </c>
      <c r="K28" s="25" t="s">
        <v>138</v>
      </c>
      <c r="L28" s="26" t="s">
        <v>153</v>
      </c>
      <c r="M28" s="26" t="s">
        <v>154</v>
      </c>
    </row>
    <row r="29" spans="2:13" ht="36">
      <c r="B29" s="2">
        <v>9</v>
      </c>
      <c r="C29" s="2" t="s">
        <v>155</v>
      </c>
      <c r="D29" s="25" t="s">
        <v>45</v>
      </c>
      <c r="E29" s="2" t="s">
        <v>152</v>
      </c>
      <c r="F29" s="25" t="s">
        <v>45</v>
      </c>
      <c r="G29" s="25" t="s">
        <v>45</v>
      </c>
      <c r="H29" s="25" t="s">
        <v>45</v>
      </c>
      <c r="I29" s="25" t="s">
        <v>45</v>
      </c>
      <c r="J29" s="25" t="s">
        <v>45</v>
      </c>
      <c r="K29" s="25" t="s">
        <v>138</v>
      </c>
      <c r="L29" s="26" t="s">
        <v>156</v>
      </c>
      <c r="M29" s="26" t="s">
        <v>157</v>
      </c>
    </row>
    <row r="32" spans="2:13">
      <c r="B32" t="s">
        <v>179</v>
      </c>
    </row>
    <row r="33" spans="2:2">
      <c r="B33" t="s">
        <v>181</v>
      </c>
    </row>
    <row r="34" spans="2:2">
      <c r="B34" t="s">
        <v>182</v>
      </c>
    </row>
    <row r="35" spans="2:2">
      <c r="B35" t="s">
        <v>183</v>
      </c>
    </row>
    <row r="36" spans="2:2">
      <c r="B36" t="s">
        <v>184</v>
      </c>
    </row>
    <row r="37" spans="2:2">
      <c r="B37" t="s">
        <v>185</v>
      </c>
    </row>
    <row r="38" spans="2:2">
      <c r="B38" t="s">
        <v>189</v>
      </c>
    </row>
    <row r="39" spans="2:2">
      <c r="B39" t="s">
        <v>190</v>
      </c>
    </row>
    <row r="40" spans="2:2">
      <c r="B40" t="s">
        <v>180</v>
      </c>
    </row>
    <row r="41" spans="2:2">
      <c r="B41" t="s">
        <v>186</v>
      </c>
    </row>
    <row r="42" spans="2:2">
      <c r="B42" t="s">
        <v>187</v>
      </c>
    </row>
    <row r="43" spans="2:2">
      <c r="B43" t="s">
        <v>188</v>
      </c>
    </row>
    <row r="44" spans="2:2">
      <c r="B44" t="s">
        <v>180</v>
      </c>
    </row>
  </sheetData>
  <phoneticPr fontId="2"/>
  <pageMargins left="0.7" right="0.7" top="0.75" bottom="0.75" header="0.3" footer="0.3"/>
  <pageSetup paperSize="9" orientation="portrait" horizontalDpi="0" verticalDpi="0" r:id="rId1"/>
  <drawing r:id="rId2"/>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5C33F-EB33-4788-ACED-FBDFECAB8A01}">
  <sheetPr>
    <tabColor theme="0" tint="-0.499984740745262"/>
  </sheetPr>
  <dimension ref="A1:K51"/>
  <sheetViews>
    <sheetView showGridLines="0" topLeftCell="E1" zoomScale="115" zoomScaleNormal="115" workbookViewId="0">
      <selection activeCell="F17" sqref="F17"/>
    </sheetView>
  </sheetViews>
  <sheetFormatPr defaultRowHeight="18"/>
  <cols>
    <col min="1" max="1" width="5.58203125" customWidth="1"/>
    <col min="2" max="2" width="3.33203125" customWidth="1"/>
    <col min="3" max="3" width="5.58203125" customWidth="1"/>
    <col min="4" max="4" width="25.58203125" bestFit="1" customWidth="1"/>
    <col min="5" max="5" width="19.08203125" customWidth="1"/>
    <col min="6" max="6" width="10.25" bestFit="1" customWidth="1"/>
    <col min="7" max="7" width="10.83203125" bestFit="1" customWidth="1"/>
    <col min="8" max="8" width="22" bestFit="1" customWidth="1"/>
    <col min="9" max="9" width="10.83203125" bestFit="1" customWidth="1"/>
    <col min="10" max="10" width="2" customWidth="1"/>
  </cols>
  <sheetData>
    <row r="1" spans="1:11" ht="22.5">
      <c r="A1" s="4" t="str">
        <f ca="1">RIGHT(CELL("filename",A1),LEN(CELL("filename",A1))-FIND("]",CELL("filename",A1)))</f>
        <v>備品返却画面</v>
      </c>
    </row>
    <row r="3" spans="1:11">
      <c r="C3" t="s">
        <v>108</v>
      </c>
    </row>
    <row r="4" spans="1:11">
      <c r="C4" s="34"/>
      <c r="D4" s="35"/>
      <c r="E4" s="35"/>
      <c r="F4" s="35"/>
      <c r="G4" s="35"/>
      <c r="H4" s="35"/>
      <c r="I4" s="35"/>
      <c r="J4" s="35"/>
      <c r="K4" s="36"/>
    </row>
    <row r="5" spans="1:11" ht="22.5">
      <c r="C5" s="37"/>
      <c r="D5" s="4" t="s">
        <v>158</v>
      </c>
      <c r="K5" s="38"/>
    </row>
    <row r="6" spans="1:11">
      <c r="C6" s="37"/>
      <c r="K6" s="38"/>
    </row>
    <row r="7" spans="1:11">
      <c r="C7" s="37"/>
      <c r="D7" t="s">
        <v>34</v>
      </c>
      <c r="K7" s="38"/>
    </row>
    <row r="8" spans="1:11">
      <c r="C8" s="37"/>
      <c r="K8" s="38"/>
    </row>
    <row r="9" spans="1:11">
      <c r="C9" s="37"/>
      <c r="D9" s="33" t="s">
        <v>64</v>
      </c>
      <c r="E9" s="33" t="s">
        <v>66</v>
      </c>
      <c r="F9" s="33" t="s">
        <v>71</v>
      </c>
      <c r="G9" s="33" t="s">
        <v>75</v>
      </c>
      <c r="H9" s="33" t="s">
        <v>43</v>
      </c>
      <c r="I9" s="33" t="s">
        <v>82</v>
      </c>
      <c r="K9" s="38"/>
    </row>
    <row r="10" spans="1:11">
      <c r="C10" s="37"/>
      <c r="D10" s="55" t="s">
        <v>159</v>
      </c>
      <c r="E10" s="55" t="s">
        <v>160</v>
      </c>
      <c r="F10" s="20">
        <v>44735</v>
      </c>
      <c r="G10" s="20">
        <v>45100</v>
      </c>
      <c r="H10" s="55" t="s">
        <v>161</v>
      </c>
      <c r="I10" s="24" t="s">
        <v>112</v>
      </c>
      <c r="J10" s="44"/>
      <c r="K10" s="38"/>
    </row>
    <row r="11" spans="1:11">
      <c r="C11" s="37"/>
      <c r="D11" s="55" t="s">
        <v>162</v>
      </c>
      <c r="E11" s="55" t="s">
        <v>163</v>
      </c>
      <c r="F11" s="20">
        <v>44735</v>
      </c>
      <c r="G11" s="20">
        <v>45100</v>
      </c>
      <c r="H11" s="55" t="s">
        <v>161</v>
      </c>
      <c r="I11" s="24" t="s">
        <v>112</v>
      </c>
      <c r="J11" s="45"/>
      <c r="K11" s="38"/>
    </row>
    <row r="12" spans="1:11">
      <c r="C12" s="37"/>
      <c r="D12" s="55" t="s">
        <v>164</v>
      </c>
      <c r="E12" s="55" t="s">
        <v>165</v>
      </c>
      <c r="F12" s="20">
        <v>44735</v>
      </c>
      <c r="G12" s="20">
        <v>45100</v>
      </c>
      <c r="H12" s="55" t="s">
        <v>161</v>
      </c>
      <c r="I12" s="24" t="s">
        <v>112</v>
      </c>
      <c r="J12" s="45"/>
      <c r="K12" s="38"/>
    </row>
    <row r="13" spans="1:11">
      <c r="C13" s="37"/>
      <c r="D13" s="55" t="s">
        <v>166</v>
      </c>
      <c r="E13" s="55" t="s">
        <v>167</v>
      </c>
      <c r="F13" s="20">
        <v>44735</v>
      </c>
      <c r="G13" s="20">
        <v>45100</v>
      </c>
      <c r="H13" s="55" t="s">
        <v>161</v>
      </c>
      <c r="I13" s="24" t="s">
        <v>112</v>
      </c>
      <c r="J13" s="45"/>
      <c r="K13" s="38"/>
    </row>
    <row r="14" spans="1:11">
      <c r="C14" s="37"/>
      <c r="D14" s="55" t="s">
        <v>168</v>
      </c>
      <c r="E14" s="55" t="s">
        <v>169</v>
      </c>
      <c r="F14" s="20">
        <v>44735</v>
      </c>
      <c r="G14" s="20">
        <v>45100</v>
      </c>
      <c r="H14" s="55" t="s">
        <v>161</v>
      </c>
      <c r="I14" s="24" t="s">
        <v>112</v>
      </c>
      <c r="J14" s="46"/>
      <c r="K14" s="38"/>
    </row>
    <row r="15" spans="1:11" ht="13.9" customHeight="1">
      <c r="C15" s="37"/>
      <c r="D15" s="28"/>
      <c r="E15" s="42"/>
      <c r="F15" s="42"/>
      <c r="G15" s="42"/>
      <c r="H15" s="42"/>
      <c r="I15" s="43"/>
      <c r="K15" s="38"/>
    </row>
    <row r="16" spans="1:11">
      <c r="C16" s="37"/>
      <c r="K16" s="38"/>
    </row>
    <row r="17" spans="3:11">
      <c r="C17" s="39"/>
      <c r="D17" s="40"/>
      <c r="E17" s="40"/>
      <c r="F17" s="40"/>
      <c r="G17" s="40"/>
      <c r="H17" s="40"/>
      <c r="I17" s="40"/>
      <c r="J17" s="40"/>
      <c r="K17" s="41"/>
    </row>
    <row r="20" spans="3:11">
      <c r="C20" t="s">
        <v>170</v>
      </c>
    </row>
    <row r="21" spans="3:11">
      <c r="C21" s="34"/>
      <c r="D21" s="35"/>
      <c r="E21" s="35"/>
      <c r="F21" s="35"/>
      <c r="G21" s="35"/>
      <c r="H21" s="35"/>
      <c r="I21" s="35"/>
      <c r="J21" s="35"/>
      <c r="K21" s="36"/>
    </row>
    <row r="22" spans="3:11" ht="22.5">
      <c r="C22" s="37"/>
      <c r="D22" s="4" t="s">
        <v>158</v>
      </c>
      <c r="K22" s="38"/>
    </row>
    <row r="23" spans="3:11">
      <c r="C23" s="37"/>
      <c r="K23" s="38"/>
    </row>
    <row r="24" spans="3:11">
      <c r="C24" s="37"/>
      <c r="D24" t="s">
        <v>34</v>
      </c>
      <c r="K24" s="38"/>
    </row>
    <row r="25" spans="3:11">
      <c r="C25" s="37"/>
      <c r="K25" s="38"/>
    </row>
    <row r="26" spans="3:11">
      <c r="C26" s="37"/>
      <c r="D26" s="33" t="s">
        <v>64</v>
      </c>
      <c r="E26" s="33" t="s">
        <v>66</v>
      </c>
      <c r="F26" s="33" t="s">
        <v>71</v>
      </c>
      <c r="G26" s="33" t="s">
        <v>75</v>
      </c>
      <c r="H26" s="33" t="s">
        <v>43</v>
      </c>
      <c r="I26" s="33" t="s">
        <v>82</v>
      </c>
      <c r="K26" s="38"/>
    </row>
    <row r="27" spans="3:11">
      <c r="C27" s="37"/>
      <c r="D27" s="55" t="s">
        <v>159</v>
      </c>
      <c r="E27" s="55" t="s">
        <v>160</v>
      </c>
      <c r="F27" s="20">
        <v>44735</v>
      </c>
      <c r="G27" s="20">
        <v>45100</v>
      </c>
      <c r="H27" s="55" t="s">
        <v>161</v>
      </c>
      <c r="I27" s="24" t="s">
        <v>112</v>
      </c>
      <c r="J27" s="44"/>
      <c r="K27" s="38"/>
    </row>
    <row r="28" spans="3:11">
      <c r="C28" s="37"/>
      <c r="D28" s="55" t="s">
        <v>162</v>
      </c>
      <c r="E28" s="55" t="s">
        <v>163</v>
      </c>
      <c r="F28" s="20">
        <v>44735</v>
      </c>
      <c r="G28" s="20">
        <v>45100</v>
      </c>
      <c r="H28" s="55" t="s">
        <v>161</v>
      </c>
      <c r="I28" s="54" t="s">
        <v>127</v>
      </c>
      <c r="J28" s="45"/>
      <c r="K28" s="38"/>
    </row>
    <row r="29" spans="3:11">
      <c r="C29" s="37"/>
      <c r="D29" s="55" t="s">
        <v>164</v>
      </c>
      <c r="E29" s="55" t="s">
        <v>165</v>
      </c>
      <c r="F29" s="20">
        <v>44735</v>
      </c>
      <c r="G29" s="20">
        <v>45100</v>
      </c>
      <c r="H29" s="55" t="s">
        <v>161</v>
      </c>
      <c r="I29" s="24" t="s">
        <v>112</v>
      </c>
      <c r="J29" s="45"/>
      <c r="K29" s="38"/>
    </row>
    <row r="30" spans="3:11">
      <c r="C30" s="37"/>
      <c r="D30" s="55" t="s">
        <v>166</v>
      </c>
      <c r="E30" s="55" t="s">
        <v>167</v>
      </c>
      <c r="F30" s="20">
        <v>44735</v>
      </c>
      <c r="G30" s="20">
        <v>45100</v>
      </c>
      <c r="H30" s="55" t="s">
        <v>161</v>
      </c>
      <c r="I30" s="24" t="s">
        <v>112</v>
      </c>
      <c r="J30" s="45"/>
      <c r="K30" s="38"/>
    </row>
    <row r="31" spans="3:11">
      <c r="C31" s="37"/>
      <c r="D31" s="55" t="s">
        <v>168</v>
      </c>
      <c r="E31" s="55" t="s">
        <v>169</v>
      </c>
      <c r="F31" s="20">
        <v>44735</v>
      </c>
      <c r="G31" s="20">
        <v>45100</v>
      </c>
      <c r="H31" s="55" t="s">
        <v>161</v>
      </c>
      <c r="I31" s="24" t="s">
        <v>112</v>
      </c>
      <c r="J31" s="46"/>
      <c r="K31" s="38"/>
    </row>
    <row r="32" spans="3:11">
      <c r="C32" s="37"/>
      <c r="D32" s="28"/>
      <c r="E32" s="42"/>
      <c r="F32" s="42"/>
      <c r="G32" s="42"/>
      <c r="H32" s="42"/>
      <c r="I32" s="43"/>
      <c r="K32" s="38"/>
    </row>
    <row r="33" spans="3:11">
      <c r="C33" s="37"/>
      <c r="K33" s="38"/>
    </row>
    <row r="34" spans="3:11">
      <c r="C34" s="39"/>
      <c r="D34" s="40"/>
      <c r="E34" s="40"/>
      <c r="F34" s="40"/>
      <c r="G34" s="40"/>
      <c r="H34" s="40"/>
      <c r="I34" s="40"/>
      <c r="J34" s="40"/>
      <c r="K34" s="41"/>
    </row>
    <row r="38" spans="3:11">
      <c r="C38" t="s">
        <v>171</v>
      </c>
    </row>
    <row r="39" spans="3:11">
      <c r="C39" s="34"/>
      <c r="D39" s="35"/>
      <c r="E39" s="35"/>
      <c r="F39" s="35"/>
      <c r="G39" s="35"/>
      <c r="H39" s="35"/>
      <c r="I39" s="35"/>
      <c r="J39" s="35"/>
      <c r="K39" s="36"/>
    </row>
    <row r="40" spans="3:11" ht="22.5">
      <c r="C40" s="37"/>
      <c r="D40" s="4" t="s">
        <v>158</v>
      </c>
      <c r="K40" s="38"/>
    </row>
    <row r="41" spans="3:11">
      <c r="C41" s="37"/>
      <c r="K41" s="38"/>
    </row>
    <row r="42" spans="3:11">
      <c r="C42" s="37"/>
      <c r="D42" t="s">
        <v>34</v>
      </c>
      <c r="K42" s="38"/>
    </row>
    <row r="43" spans="3:11">
      <c r="C43" s="37"/>
      <c r="K43" s="38"/>
    </row>
    <row r="44" spans="3:11">
      <c r="C44" s="37"/>
      <c r="D44" s="33" t="s">
        <v>64</v>
      </c>
      <c r="E44" s="33" t="s">
        <v>66</v>
      </c>
      <c r="F44" s="33" t="s">
        <v>71</v>
      </c>
      <c r="G44" s="33" t="s">
        <v>75</v>
      </c>
      <c r="H44" s="33" t="s">
        <v>43</v>
      </c>
      <c r="I44" s="33" t="s">
        <v>82</v>
      </c>
      <c r="K44" s="38"/>
    </row>
    <row r="45" spans="3:11">
      <c r="C45" s="37"/>
      <c r="D45" s="55" t="s">
        <v>159</v>
      </c>
      <c r="E45" s="55" t="s">
        <v>160</v>
      </c>
      <c r="F45" s="20">
        <v>44735</v>
      </c>
      <c r="G45" s="20">
        <v>45100</v>
      </c>
      <c r="H45" s="55" t="s">
        <v>161</v>
      </c>
      <c r="I45" s="24" t="s">
        <v>112</v>
      </c>
      <c r="J45" s="44"/>
      <c r="K45" s="38"/>
    </row>
    <row r="46" spans="3:11">
      <c r="C46" s="37"/>
      <c r="D46" s="55" t="s">
        <v>164</v>
      </c>
      <c r="E46" s="55" t="s">
        <v>165</v>
      </c>
      <c r="F46" s="20">
        <v>44735</v>
      </c>
      <c r="G46" s="20">
        <v>45100</v>
      </c>
      <c r="H46" s="55" t="s">
        <v>161</v>
      </c>
      <c r="I46" s="24" t="s">
        <v>112</v>
      </c>
      <c r="J46" s="45"/>
      <c r="K46" s="38"/>
    </row>
    <row r="47" spans="3:11">
      <c r="C47" s="37"/>
      <c r="D47" s="55" t="s">
        <v>166</v>
      </c>
      <c r="E47" s="55" t="s">
        <v>167</v>
      </c>
      <c r="F47" s="20">
        <v>44735</v>
      </c>
      <c r="G47" s="20">
        <v>45100</v>
      </c>
      <c r="H47" s="55" t="s">
        <v>161</v>
      </c>
      <c r="I47" s="24" t="s">
        <v>112</v>
      </c>
      <c r="J47" s="45"/>
      <c r="K47" s="38"/>
    </row>
    <row r="48" spans="3:11">
      <c r="C48" s="37"/>
      <c r="D48" s="55" t="s">
        <v>168</v>
      </c>
      <c r="E48" s="55" t="s">
        <v>169</v>
      </c>
      <c r="F48" s="20">
        <v>44735</v>
      </c>
      <c r="G48" s="20">
        <v>45100</v>
      </c>
      <c r="H48" s="55" t="s">
        <v>161</v>
      </c>
      <c r="I48" s="24" t="s">
        <v>112</v>
      </c>
      <c r="J48" s="46"/>
      <c r="K48" s="38"/>
    </row>
    <row r="49" spans="3:11">
      <c r="C49" s="37"/>
      <c r="D49" s="28"/>
      <c r="E49" s="42"/>
      <c r="F49" s="42"/>
      <c r="G49" s="42"/>
      <c r="H49" s="42"/>
      <c r="I49" s="43"/>
      <c r="K49" s="38"/>
    </row>
    <row r="50" spans="3:11">
      <c r="C50" s="37"/>
      <c r="K50" s="38"/>
    </row>
    <row r="51" spans="3:11">
      <c r="C51" s="39"/>
      <c r="D51" s="40"/>
      <c r="E51" s="40"/>
      <c r="F51" s="40"/>
      <c r="G51" s="40"/>
      <c r="H51" s="40"/>
      <c r="I51" s="40"/>
      <c r="J51" s="40"/>
      <c r="K51" s="41"/>
    </row>
  </sheetData>
  <phoneticPr fontId="2"/>
  <pageMargins left="0.7" right="0.7" top="0.75" bottom="0.75" header="0.3" footer="0.3"/>
  <pageSetup paperSize="9" orientation="portrait" horizontalDpi="0" verticalDpi="0"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42DA6-8079-4B1B-A400-B41EA3EA43FA}">
  <dimension ref="A1:M29"/>
  <sheetViews>
    <sheetView showGridLines="0" topLeftCell="A3" zoomScaleNormal="100" workbookViewId="0">
      <selection activeCell="D34" sqref="D34"/>
    </sheetView>
  </sheetViews>
  <sheetFormatPr defaultRowHeight="18"/>
  <cols>
    <col min="2" max="2" width="3.33203125" bestFit="1" customWidth="1"/>
    <col min="3" max="3" width="15.83203125" bestFit="1" customWidth="1"/>
    <col min="4" max="4" width="7.83203125" bestFit="1" customWidth="1"/>
    <col min="5" max="5" width="15.83203125" bestFit="1" customWidth="1"/>
    <col min="6" max="6" width="12" bestFit="1" customWidth="1"/>
    <col min="7" max="8" width="6.5" bestFit="1" customWidth="1"/>
    <col min="9" max="9" width="13.83203125" bestFit="1" customWidth="1"/>
    <col min="10" max="11" width="13.83203125" customWidth="1"/>
    <col min="12" max="12" width="54.08203125" bestFit="1" customWidth="1"/>
    <col min="13" max="13" width="60.5" customWidth="1"/>
  </cols>
  <sheetData>
    <row r="1" spans="1:1" ht="22.5">
      <c r="A1" s="4" t="str">
        <f ca="1">RIGHT(CELL("filename",A1),LEN(CELL("filename",A1))-FIND("]",CELL("filename",A1)))</f>
        <v>備品返却画面（項目一覧）</v>
      </c>
    </row>
    <row r="20" spans="2:13">
      <c r="B20" s="18" t="s">
        <v>36</v>
      </c>
      <c r="C20" s="18" t="s">
        <v>37</v>
      </c>
      <c r="D20" s="18" t="s">
        <v>38</v>
      </c>
      <c r="E20" s="18" t="s">
        <v>129</v>
      </c>
      <c r="F20" s="18" t="s">
        <v>39</v>
      </c>
      <c r="G20" s="18" t="s">
        <v>40</v>
      </c>
      <c r="H20" s="18" t="s">
        <v>41</v>
      </c>
      <c r="I20" s="18" t="s">
        <v>42</v>
      </c>
      <c r="J20" s="18" t="s">
        <v>130</v>
      </c>
      <c r="K20" s="18" t="s">
        <v>131</v>
      </c>
      <c r="L20" s="18" t="s">
        <v>8</v>
      </c>
      <c r="M20" s="18" t="s">
        <v>43</v>
      </c>
    </row>
    <row r="21" spans="2:13">
      <c r="B21" s="2">
        <v>1</v>
      </c>
      <c r="C21" s="2" t="s">
        <v>21</v>
      </c>
      <c r="D21" s="2" t="s">
        <v>44</v>
      </c>
      <c r="E21" s="2" t="s">
        <v>132</v>
      </c>
      <c r="F21" s="2">
        <v>100</v>
      </c>
      <c r="G21" s="25" t="s">
        <v>45</v>
      </c>
      <c r="H21" s="25" t="s">
        <v>45</v>
      </c>
      <c r="I21" s="25" t="s">
        <v>45</v>
      </c>
      <c r="J21" s="25" t="s">
        <v>45</v>
      </c>
      <c r="K21" s="25" t="s">
        <v>133</v>
      </c>
      <c r="L21" s="26" t="s">
        <v>134</v>
      </c>
      <c r="M21" s="26"/>
    </row>
    <row r="22" spans="2:13">
      <c r="B22" s="2">
        <v>2</v>
      </c>
      <c r="C22" s="2" t="s">
        <v>64</v>
      </c>
      <c r="D22" s="2" t="s">
        <v>44</v>
      </c>
      <c r="E22" s="2" t="s">
        <v>132</v>
      </c>
      <c r="F22" s="2">
        <v>20</v>
      </c>
      <c r="G22" s="25" t="s">
        <v>45</v>
      </c>
      <c r="H22" s="25" t="s">
        <v>45</v>
      </c>
      <c r="I22" s="25" t="s">
        <v>45</v>
      </c>
      <c r="J22" s="25" t="s">
        <v>45</v>
      </c>
      <c r="K22" s="25" t="s">
        <v>133</v>
      </c>
      <c r="L22" s="26" t="s">
        <v>172</v>
      </c>
      <c r="M22" s="26" t="s">
        <v>173</v>
      </c>
    </row>
    <row r="23" spans="2:13" ht="54">
      <c r="B23" s="2">
        <v>3</v>
      </c>
      <c r="C23" s="2" t="s">
        <v>66</v>
      </c>
      <c r="D23" s="2" t="s">
        <v>44</v>
      </c>
      <c r="E23" s="2" t="s">
        <v>132</v>
      </c>
      <c r="F23" s="2">
        <v>20</v>
      </c>
      <c r="G23" s="25" t="s">
        <v>45</v>
      </c>
      <c r="H23" s="25" t="s">
        <v>45</v>
      </c>
      <c r="I23" s="25" t="s">
        <v>45</v>
      </c>
      <c r="J23" s="25" t="s">
        <v>45</v>
      </c>
      <c r="K23" s="25" t="s">
        <v>133</v>
      </c>
      <c r="L23" s="26" t="s">
        <v>174</v>
      </c>
      <c r="M23" s="56" t="s">
        <v>175</v>
      </c>
    </row>
    <row r="24" spans="2:13">
      <c r="B24" s="2">
        <v>4</v>
      </c>
      <c r="C24" s="2" t="s">
        <v>71</v>
      </c>
      <c r="D24" s="2" t="s">
        <v>72</v>
      </c>
      <c r="E24" s="2" t="s">
        <v>141</v>
      </c>
      <c r="F24" s="2">
        <v>10</v>
      </c>
      <c r="G24" s="25" t="s">
        <v>45</v>
      </c>
      <c r="H24" s="25" t="s">
        <v>45</v>
      </c>
      <c r="I24" s="25" t="s">
        <v>73</v>
      </c>
      <c r="J24" s="25" t="s">
        <v>45</v>
      </c>
      <c r="K24" s="25" t="s">
        <v>133</v>
      </c>
      <c r="L24" s="26" t="s">
        <v>176</v>
      </c>
      <c r="M24" s="26"/>
    </row>
    <row r="25" spans="2:13">
      <c r="B25" s="2">
        <v>5</v>
      </c>
      <c r="C25" s="2" t="s">
        <v>75</v>
      </c>
      <c r="D25" s="2" t="s">
        <v>72</v>
      </c>
      <c r="E25" s="2" t="s">
        <v>141</v>
      </c>
      <c r="F25" s="2">
        <v>10</v>
      </c>
      <c r="G25" s="25" t="s">
        <v>45</v>
      </c>
      <c r="H25" s="25" t="s">
        <v>45</v>
      </c>
      <c r="I25" s="25" t="s">
        <v>73</v>
      </c>
      <c r="J25" s="25" t="s">
        <v>45</v>
      </c>
      <c r="K25" s="25" t="s">
        <v>133</v>
      </c>
      <c r="L25" s="26" t="s">
        <v>76</v>
      </c>
      <c r="M25" s="26"/>
    </row>
    <row r="26" spans="2:13" ht="36">
      <c r="B26" s="2">
        <v>6</v>
      </c>
      <c r="C26" s="2" t="s">
        <v>43</v>
      </c>
      <c r="D26" s="2" t="s">
        <v>44</v>
      </c>
      <c r="E26" s="2" t="s">
        <v>132</v>
      </c>
      <c r="F26" s="2">
        <v>10</v>
      </c>
      <c r="G26" s="25" t="s">
        <v>45</v>
      </c>
      <c r="H26" s="25" t="s">
        <v>45</v>
      </c>
      <c r="I26" s="25" t="s">
        <v>45</v>
      </c>
      <c r="J26" s="25" t="s">
        <v>45</v>
      </c>
      <c r="K26" s="25" t="s">
        <v>133</v>
      </c>
      <c r="L26" s="26" t="s">
        <v>146</v>
      </c>
      <c r="M26" s="26" t="s">
        <v>147</v>
      </c>
    </row>
    <row r="27" spans="2:13" ht="36">
      <c r="B27" s="2">
        <v>7</v>
      </c>
      <c r="C27" s="2" t="s">
        <v>82</v>
      </c>
      <c r="D27" s="2" t="s">
        <v>148</v>
      </c>
      <c r="E27" s="2" t="s">
        <v>149</v>
      </c>
      <c r="F27" s="25" t="s">
        <v>45</v>
      </c>
      <c r="G27" s="25" t="s">
        <v>45</v>
      </c>
      <c r="H27" s="25" t="s">
        <v>45</v>
      </c>
      <c r="I27" s="25" t="s">
        <v>45</v>
      </c>
      <c r="J27" s="25" t="b">
        <v>0</v>
      </c>
      <c r="K27" s="25" t="s">
        <v>138</v>
      </c>
      <c r="L27" s="26" t="s">
        <v>150</v>
      </c>
      <c r="M27" s="26" t="s">
        <v>151</v>
      </c>
    </row>
    <row r="28" spans="2:13" ht="54">
      <c r="B28" s="2">
        <v>8</v>
      </c>
      <c r="C28" s="2" t="s">
        <v>82</v>
      </c>
      <c r="D28" s="25" t="s">
        <v>45</v>
      </c>
      <c r="E28" s="2" t="s">
        <v>152</v>
      </c>
      <c r="F28" s="25" t="s">
        <v>45</v>
      </c>
      <c r="G28" s="25" t="s">
        <v>45</v>
      </c>
      <c r="H28" s="25" t="s">
        <v>45</v>
      </c>
      <c r="I28" s="25" t="s">
        <v>45</v>
      </c>
      <c r="J28" s="25" t="s">
        <v>45</v>
      </c>
      <c r="K28" s="25" t="s">
        <v>138</v>
      </c>
      <c r="L28" s="26" t="s">
        <v>177</v>
      </c>
      <c r="M28" s="26" t="s">
        <v>178</v>
      </c>
    </row>
    <row r="29" spans="2:13" ht="36">
      <c r="B29" s="2">
        <v>9</v>
      </c>
      <c r="C29" s="2" t="s">
        <v>155</v>
      </c>
      <c r="D29" s="25" t="s">
        <v>45</v>
      </c>
      <c r="E29" s="2" t="s">
        <v>152</v>
      </c>
      <c r="F29" s="25" t="s">
        <v>45</v>
      </c>
      <c r="G29" s="25" t="s">
        <v>45</v>
      </c>
      <c r="H29" s="25" t="s">
        <v>45</v>
      </c>
      <c r="I29" s="25" t="s">
        <v>45</v>
      </c>
      <c r="J29" s="25" t="s">
        <v>45</v>
      </c>
      <c r="K29" s="25" t="s">
        <v>138</v>
      </c>
      <c r="L29" s="26" t="s">
        <v>156</v>
      </c>
      <c r="M29" s="26" t="s">
        <v>157</v>
      </c>
    </row>
  </sheetData>
  <phoneticPr fontId="2"/>
  <pageMargins left="0.7" right="0.7" top="0.75" bottom="0.75" header="0.3" footer="0.3"/>
  <pageSetup paperSize="9" orientation="portrait" horizontalDpi="0"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vt:i4>
      </vt:variant>
    </vt:vector>
  </HeadingPairs>
  <TitlesOfParts>
    <vt:vector size="16" baseType="lpstr">
      <vt:lpstr>表紙</vt:lpstr>
      <vt:lpstr>改訂履歴</vt:lpstr>
      <vt:lpstr>はじめに</vt:lpstr>
      <vt:lpstr>画面遷移図</vt:lpstr>
      <vt:lpstr>備品一覧画面</vt:lpstr>
      <vt:lpstr>備品一覧画面（項目一覧）</vt:lpstr>
      <vt:lpstr>備品詳細画面</vt:lpstr>
      <vt:lpstr>備品詳細画面（項目一覧）</vt:lpstr>
      <vt:lpstr>備品詳細画面（パソコン）</vt:lpstr>
      <vt:lpstr>備品詳細画面（周辺機器）</vt:lpstr>
      <vt:lpstr>備品詳細画面（その他）</vt:lpstr>
      <vt:lpstr>備品貸出画面</vt:lpstr>
      <vt:lpstr>備品貸出画面（項目一覧）</vt:lpstr>
      <vt:lpstr>備品返却画面</vt:lpstr>
      <vt:lpstr>備品返却画面（項目一覧）</vt:lpstr>
      <vt:lpstr>表紙!Print_Area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r_tsuzuki</dc:creator>
  <cp:keywords/>
  <dc:description/>
  <cp:lastModifiedBy>大成 慶一</cp:lastModifiedBy>
  <cp:revision/>
  <dcterms:created xsi:type="dcterms:W3CDTF">2015-06-05T18:19:34Z</dcterms:created>
  <dcterms:modified xsi:type="dcterms:W3CDTF">2026-01-28T10:10:26Z</dcterms:modified>
  <cp:category/>
  <cp:contentStatus/>
</cp:coreProperties>
</file>